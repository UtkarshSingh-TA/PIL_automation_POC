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Intake Dashboard" sheetId="1" state="visible" r:id="rId1"/>
    <sheet xmlns:r="http://schemas.openxmlformats.org/officeDocument/2006/relationships" name="Email Ingestion Audi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DC2626"/>
      <sz val="9"/>
    </font>
    <font>
      <name val="Segoe UI"/>
      <b val="1"/>
      <color rgb="002563EB"/>
      <sz val="9"/>
    </font>
    <font>
      <name val="Segoe UI"/>
      <color rgb="001E293B"/>
      <sz val="9"/>
    </font>
    <font>
      <name val="Segoe UI"/>
      <b val="1"/>
      <color rgb="00B91C1C"/>
      <sz val="9"/>
    </font>
    <font>
      <name val="Segoe U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dashed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0" customWidth="1" min="2" max="2"/>
    <col width="22" customWidth="1" min="3" max="3"/>
    <col width="16" customWidth="1" min="4" max="4"/>
    <col width="24" customWidth="1" min="5" max="5"/>
    <col width="12" customWidth="1" min="6" max="6"/>
    <col width="15" customWidth="1" min="7" max="7"/>
    <col width="24" customWidth="1" min="8" max="8"/>
    <col width="10" customWidth="1" min="9" max="9"/>
    <col width="16" customWidth="1" min="10" max="10"/>
    <col width="20" customWidth="1" min="11" max="11"/>
    <col width="22" customWidth="1" min="12" max="12"/>
    <col width="12" customWidth="1" min="13" max="13"/>
    <col width="8" customWidth="1" min="14" max="14"/>
    <col width="24" customWidth="1" min="15" max="15"/>
    <col width="28" customWidth="1" min="16" max="16"/>
    <col width="16" customWidth="1" min="17" max="17"/>
    <col width="12" customWidth="1" min="18" max="18"/>
    <col width="25" customWidth="1" min="19" max="19"/>
  </cols>
  <sheetData>
    <row r="1" ht="28" customHeight="1">
      <c r="A1" s="1" t="inlineStr">
        <is>
          <t>ID</t>
        </is>
      </c>
      <c r="B1" s="1" t="inlineStr">
        <is>
          <t>LEG SEQ #</t>
        </is>
      </c>
      <c r="C1" s="1" t="inlineStr">
        <is>
          <t>CUSTOMER</t>
        </is>
      </c>
      <c r="D1" s="1" t="inlineStr">
        <is>
          <t>POL ➔ POD</t>
        </is>
      </c>
      <c r="E1" s="1" t="inlineStr">
        <is>
          <t>VALIDITY</t>
        </is>
      </c>
      <c r="F1" s="1" t="inlineStr">
        <is>
          <t>CONTAINER</t>
        </is>
      </c>
      <c r="G1" s="1" t="inlineStr">
        <is>
          <t>WT (T)</t>
        </is>
      </c>
      <c r="H1" s="1" t="inlineStr">
        <is>
          <t>COMMODITY</t>
        </is>
      </c>
      <c r="I1" s="1" t="inlineStr">
        <is>
          <t># CNTR</t>
        </is>
      </c>
      <c r="J1" s="1" t="inlineStr">
        <is>
          <t>SERVICE / VOYAGE</t>
        </is>
      </c>
      <c r="K1" s="1" t="inlineStr">
        <is>
          <t>SYSTEM PROPOSED RATE</t>
        </is>
      </c>
      <c r="L1" s="1" t="inlineStr">
        <is>
          <t>CUSTOMER REQUESTED RATE</t>
        </is>
      </c>
      <c r="M1" s="1" t="inlineStr">
        <is>
          <t>FLAGS</t>
        </is>
      </c>
      <c r="N1" s="1" t="inlineStr">
        <is>
          <t>VAS</t>
        </is>
      </c>
      <c r="O1" s="1" t="inlineStr">
        <is>
          <t>FREE TIME</t>
        </is>
      </c>
      <c r="P1" s="1" t="inlineStr">
        <is>
          <t>REMARKS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MISSING DATA?</t>
        </is>
      </c>
    </row>
    <row r="2" ht="24" customHeight="1">
      <c r="A2" s="3" t="inlineStr">
        <is>
          <t>REQ-1001</t>
        </is>
      </c>
      <c r="B2" s="4" t="n">
        <v>1</v>
      </c>
      <c r="C2" s="5" t="inlineStr">
        <is>
          <t>Exodus Brokers</t>
        </is>
      </c>
      <c r="D2" s="6" t="inlineStr">
        <is>
          <t>PECALL ➔ AUMEL</t>
        </is>
      </c>
      <c r="E2" s="6" t="inlineStr">
        <is>
          <t>—</t>
        </is>
      </c>
      <c r="F2" s="6" t="inlineStr">
        <is>
          <t>—</t>
        </is>
      </c>
      <c r="G2" s="7" t="inlineStr">
        <is>
          <t>—</t>
        </is>
      </c>
      <c r="H2" s="5" t="inlineStr">
        <is>
          <t>Kion Deshidratado</t>
        </is>
      </c>
      <c r="I2" s="6" t="n">
        <v>1</v>
      </c>
      <c r="J2" s="6" t="inlineStr">
        <is>
          <t>—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—</t>
        </is>
      </c>
      <c r="N2" s="6" t="inlineStr">
        <is>
          <t>—</t>
        </is>
      </c>
      <c r="O2" s="6" t="inlineStr">
        <is>
          <t>—</t>
        </is>
      </c>
      <c r="P2" s="5" t="inlineStr">
        <is>
          <t>—</t>
        </is>
      </c>
      <c r="Q2" s="6" t="inlineStr">
        <is>
          <t>New</t>
        </is>
      </c>
      <c r="R2" s="6" t="inlineStr">
        <is>
          <t>70%</t>
        </is>
      </c>
      <c r="S2" s="8" t="inlineStr">
        <is>
          <t>YES (Container Type, Weight)</t>
        </is>
      </c>
    </row>
    <row r="3" ht="24" customHeight="1">
      <c r="A3" s="3" t="inlineStr">
        <is>
          <t>REQ-1002</t>
        </is>
      </c>
      <c r="B3" s="4" t="n">
        <v>1</v>
      </c>
      <c r="C3" s="5" t="inlineStr">
        <is>
          <t>Load Express Cargo</t>
        </is>
      </c>
      <c r="D3" s="6" t="inlineStr">
        <is>
          <t>PECALL ➔ CNNGB</t>
        </is>
      </c>
      <c r="E3" s="6" t="inlineStr">
        <is>
          <t>—</t>
        </is>
      </c>
      <c r="F3" s="6" t="inlineStr">
        <is>
          <t>40'HQ</t>
        </is>
      </c>
      <c r="G3" s="7" t="inlineStr">
        <is>
          <t>—</t>
        </is>
      </c>
      <c r="H3" s="5" t="inlineStr">
        <is>
          <t>Machinery (HS CODE 847710) Transshipment</t>
        </is>
      </c>
      <c r="I3" s="6" t="n">
        <v>1</v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Origin:
Destination:</t>
        </is>
      </c>
      <c r="P3" s="5" t="inlineStr">
        <is>
          <t>—</t>
        </is>
      </c>
      <c r="Q3" s="6" t="inlineStr">
        <is>
          <t>New</t>
        </is>
      </c>
      <c r="R3" s="6" t="inlineStr">
        <is>
          <t>85%</t>
        </is>
      </c>
      <c r="S3" s="8" t="inlineStr">
        <is>
          <t>YES (Weight)</t>
        </is>
      </c>
    </row>
    <row r="4" ht="24" customHeight="1">
      <c r="A4" s="12" t="inlineStr">
        <is>
          <t>REQ-1003</t>
        </is>
      </c>
      <c r="B4" s="13" t="n">
        <v>1</v>
      </c>
      <c r="C4" s="14" t="inlineStr">
        <is>
          <t>CNC Freight Services Sdn. Bhd.</t>
        </is>
      </c>
      <c r="D4" s="15" t="inlineStr">
        <is>
          <t>MYPKL ➔ SVACA</t>
        </is>
      </c>
      <c r="E4" s="15" t="inlineStr">
        <is>
          <t>—</t>
        </is>
      </c>
      <c r="F4" s="15" t="inlineStr">
        <is>
          <t>20'GP</t>
        </is>
      </c>
      <c r="G4" s="16" t="inlineStr">
        <is>
          <t>—</t>
        </is>
      </c>
      <c r="H4" s="14" t="inlineStr">
        <is>
          <t>General cargo</t>
        </is>
      </c>
      <c r="I4" s="15" t="n">
        <v>20</v>
      </c>
      <c r="J4" s="15" t="inlineStr">
        <is>
          <t>—</t>
        </is>
      </c>
      <c r="K4" s="15" t="inlineStr">
        <is>
          <t>—</t>
        </is>
      </c>
      <c r="L4" s="15" t="inlineStr">
        <is>
          <t>—</t>
        </is>
      </c>
      <c r="M4" s="15" t="inlineStr">
        <is>
          <t>—</t>
        </is>
      </c>
      <c r="N4" s="15" t="inlineStr">
        <is>
          <t>—</t>
        </is>
      </c>
      <c r="O4" s="15" t="inlineStr">
        <is>
          <t>Origin: 
Destination: 14d</t>
        </is>
      </c>
      <c r="P4" s="14" t="inlineStr">
        <is>
          <t>—</t>
        </is>
      </c>
      <c r="Q4" s="15" t="inlineStr">
        <is>
          <t>New</t>
        </is>
      </c>
      <c r="R4" s="15" t="inlineStr">
        <is>
          <t>85%</t>
        </is>
      </c>
      <c r="S4" s="17" t="inlineStr">
        <is>
          <t>YES (Weight)</t>
        </is>
      </c>
    </row>
    <row r="5" ht="24" customHeight="1">
      <c r="A5" s="3" t="inlineStr"/>
      <c r="B5" s="4" t="n">
        <v>2</v>
      </c>
      <c r="C5" s="5" t="inlineStr"/>
      <c r="D5" s="6" t="inlineStr">
        <is>
          <t>MYPKL ➔ SVACA</t>
        </is>
      </c>
      <c r="E5" s="6" t="inlineStr">
        <is>
          <t>—</t>
        </is>
      </c>
      <c r="F5" s="6" t="inlineStr">
        <is>
          <t>40'GP</t>
        </is>
      </c>
      <c r="G5" s="7" t="inlineStr">
        <is>
          <t>—</t>
        </is>
      </c>
      <c r="H5" s="5" t="inlineStr">
        <is>
          <t>General cargo</t>
        </is>
      </c>
      <c r="I5" s="6" t="n">
        <v>40</v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Origin: 
Destination: 14d</t>
        </is>
      </c>
      <c r="P5" s="5" t="inlineStr">
        <is>
          <t>—</t>
        </is>
      </c>
      <c r="Q5" s="6" t="inlineStr"/>
      <c r="R5" s="6" t="inlineStr"/>
      <c r="S5" s="5" t="inlineStr"/>
    </row>
    <row r="6" ht="24" customHeight="1">
      <c r="A6" s="3" t="inlineStr">
        <is>
          <t>REQ-1004</t>
        </is>
      </c>
      <c r="B6" s="4" t="n">
        <v>1</v>
      </c>
      <c r="C6" s="5" t="inlineStr">
        <is>
          <t>Muhammed Adem</t>
        </is>
      </c>
      <c r="D6" s="6" t="inlineStr">
        <is>
          <t>CNWUH ➔ SLSBG</t>
        </is>
      </c>
      <c r="E6" s="6" t="inlineStr">
        <is>
          <t>—</t>
        </is>
      </c>
      <c r="F6" s="6" t="inlineStr">
        <is>
          <t>20'GP</t>
        </is>
      </c>
      <c r="G6" s="7" t="inlineStr">
        <is>
          <t>22</t>
        </is>
      </c>
      <c r="H6" s="5" t="inlineStr">
        <is>
          <t>normal non-dangerous goods</t>
        </is>
      </c>
      <c r="I6" s="6" t="n">
        <v>2</v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>—</t>
        </is>
      </c>
      <c r="N6" s="6" t="inlineStr">
        <is>
          <t>—</t>
        </is>
      </c>
      <c r="O6" s="6" t="inlineStr">
        <is>
          <t>—</t>
        </is>
      </c>
      <c r="P6" s="5" t="inlineStr">
        <is>
          <t>—</t>
        </is>
      </c>
      <c r="Q6" s="6" t="inlineStr">
        <is>
          <t>New</t>
        </is>
      </c>
      <c r="R6" s="6" t="inlineStr">
        <is>
          <t>100%</t>
        </is>
      </c>
      <c r="S6" s="5" t="inlineStr">
        <is>
          <t>NO</t>
        </is>
      </c>
    </row>
    <row r="7" ht="24" customHeight="1">
      <c r="A7" s="3" t="inlineStr">
        <is>
          <t>REQ-1005</t>
        </is>
      </c>
      <c r="B7" s="4" t="n">
        <v>1</v>
      </c>
      <c r="C7" s="5" t="inlineStr">
        <is>
          <t>GUANGZHOU AHEAD LOGISTICS CO LTD</t>
        </is>
      </c>
      <c r="D7" s="6" t="inlineStr">
        <is>
          <t>CNWUH ➔ SAJED</t>
        </is>
      </c>
      <c r="E7" s="6" t="inlineStr">
        <is>
          <t>—</t>
        </is>
      </c>
      <c r="F7" s="6" t="inlineStr">
        <is>
          <t>40'HQ</t>
        </is>
      </c>
      <c r="G7" s="7" t="inlineStr">
        <is>
          <t>—</t>
        </is>
      </c>
      <c r="H7" s="5" t="inlineStr">
        <is>
          <t>—</t>
        </is>
      </c>
      <c r="I7" s="6" t="n">
        <v>12</v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5" t="inlineStr">
        <is>
          <t>—</t>
        </is>
      </c>
      <c r="Q7" s="6" t="inlineStr">
        <is>
          <t>New</t>
        </is>
      </c>
      <c r="R7" s="6" t="inlineStr">
        <is>
          <t>75%</t>
        </is>
      </c>
      <c r="S7" s="8" t="inlineStr">
        <is>
          <t>YES (Weight, Commodity)</t>
        </is>
      </c>
    </row>
    <row r="8" ht="24" customHeight="1">
      <c r="A8" s="3" t="inlineStr">
        <is>
          <t>REQ-1006</t>
        </is>
      </c>
      <c r="B8" s="4" t="n">
        <v>1</v>
      </c>
      <c r="C8" s="5" t="inlineStr">
        <is>
          <t>BLU Logistics Asia (Hong Kong)</t>
        </is>
      </c>
      <c r="D8" s="6" t="inlineStr">
        <is>
          <t>CNSHA ➔ ECGYE</t>
        </is>
      </c>
      <c r="E8" s="6" t="inlineStr">
        <is>
          <t>—</t>
        </is>
      </c>
      <c r="F8" s="6" t="inlineStr">
        <is>
          <t>40'HQ</t>
        </is>
      </c>
      <c r="G8" s="7" t="inlineStr">
        <is>
          <t>5</t>
        </is>
      </c>
      <c r="H8" s="5" t="inlineStr">
        <is>
          <t>Plastic Toys</t>
        </is>
      </c>
      <c r="I8" s="6" t="n">
        <v>5</v>
      </c>
      <c r="J8" s="6" t="inlineStr">
        <is>
          <t>EMERALD / V.009E</t>
        </is>
      </c>
      <c r="K8" s="6" t="inlineStr">
        <is>
          <t>—</t>
        </is>
      </c>
      <c r="L8" s="6" t="inlineStr">
        <is>
          <t>$780/40HQ</t>
        </is>
      </c>
      <c r="M8" s="6" t="inlineStr">
        <is>
          <t>—</t>
        </is>
      </c>
      <c r="N8" s="6" t="inlineStr">
        <is>
          <t>ISPS, THCs, Local &amp; Destination Charges, BAF, LSR, Origin Add-on</t>
        </is>
      </c>
      <c r="O8" s="6" t="inlineStr">
        <is>
          <t>Origin:
Destination: 20d</t>
        </is>
      </c>
      <c r="P8" s="5" t="inlineStr">
        <is>
          <t>—</t>
        </is>
      </c>
      <c r="Q8" s="6" t="inlineStr">
        <is>
          <t>New</t>
        </is>
      </c>
      <c r="R8" s="6" t="inlineStr">
        <is>
          <t>100%</t>
        </is>
      </c>
      <c r="S8" s="5" t="inlineStr">
        <is>
          <t>NO</t>
        </is>
      </c>
    </row>
    <row r="9" ht="24" customHeight="1">
      <c r="A9" s="3" t="inlineStr">
        <is>
          <t>REQ-1007</t>
        </is>
      </c>
      <c r="B9" s="4" t="n">
        <v>1</v>
      </c>
      <c r="C9" s="5" t="inlineStr">
        <is>
          <t>QINGDAO CHENGYE GLASS CO., LIMITED.</t>
        </is>
      </c>
      <c r="D9" s="6" t="inlineStr">
        <is>
          <t>CNCXN ➔ ZADUR</t>
        </is>
      </c>
      <c r="E9" s="6" t="inlineStr">
        <is>
          <t>—</t>
        </is>
      </c>
      <c r="F9" s="6" t="inlineStr">
        <is>
          <t>20'OH</t>
        </is>
      </c>
      <c r="G9" s="7" t="inlineStr">
        <is>
          <t>26.5</t>
        </is>
      </c>
      <c r="H9" s="5" t="inlineStr">
        <is>
          <t>EURO GREY FLOAT GLASS</t>
        </is>
      </c>
      <c r="I9" s="6" t="n">
        <v>1</v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Origin:
Destination:</t>
        </is>
      </c>
      <c r="P9" s="5" t="inlineStr">
        <is>
          <t>—</t>
        </is>
      </c>
      <c r="Q9" s="6" t="inlineStr">
        <is>
          <t>New</t>
        </is>
      </c>
      <c r="R9" s="6" t="inlineStr">
        <is>
          <t>100%</t>
        </is>
      </c>
      <c r="S9" s="5" t="inlineStr">
        <is>
          <t>NO</t>
        </is>
      </c>
    </row>
    <row r="10" ht="24" customHeight="1">
      <c r="A10" s="12" t="inlineStr">
        <is>
          <t>REQ-1008</t>
        </is>
      </c>
      <c r="B10" s="13" t="n">
        <v>1</v>
      </c>
      <c r="C10" s="14" t="inlineStr">
        <is>
          <t>Fracht (Shanghai) Ltd.</t>
        </is>
      </c>
      <c r="D10" s="15" t="inlineStr">
        <is>
          <t>CNQDG ➔ NGLOS</t>
        </is>
      </c>
      <c r="E10" s="15" t="inlineStr">
        <is>
          <t>—</t>
        </is>
      </c>
      <c r="F10" s="15" t="inlineStr">
        <is>
          <t>40'HQ</t>
        </is>
      </c>
      <c r="G10" s="16" t="inlineStr">
        <is>
          <t>—</t>
        </is>
      </c>
      <c r="H10" s="14" t="inlineStr">
        <is>
          <t>—</t>
        </is>
      </c>
      <c r="I10" s="15" t="n">
        <v>3</v>
      </c>
      <c r="J10" s="15" t="inlineStr">
        <is>
          <t>—</t>
        </is>
      </c>
      <c r="K10" s="15" t="inlineStr">
        <is>
          <t>—</t>
        </is>
      </c>
      <c r="L10" s="15" t="inlineStr">
        <is>
          <t>—</t>
        </is>
      </c>
      <c r="M10" s="15" t="inlineStr">
        <is>
          <t>—</t>
        </is>
      </c>
      <c r="N10" s="15" t="inlineStr">
        <is>
          <t>—</t>
        </is>
      </c>
      <c r="O10" s="15" t="inlineStr">
        <is>
          <t>—</t>
        </is>
      </c>
      <c r="P10" s="14" t="inlineStr">
        <is>
          <t>—</t>
        </is>
      </c>
      <c r="Q10" s="15" t="inlineStr">
        <is>
          <t>New</t>
        </is>
      </c>
      <c r="R10" s="15" t="inlineStr">
        <is>
          <t>75%</t>
        </is>
      </c>
      <c r="S10" s="17" t="inlineStr">
        <is>
          <t>YES (Weight, Commodity)</t>
        </is>
      </c>
    </row>
    <row r="11" ht="24" customHeight="1">
      <c r="A11" s="12" t="inlineStr"/>
      <c r="B11" s="13" t="n">
        <v>2</v>
      </c>
      <c r="C11" s="14" t="inlineStr"/>
      <c r="D11" s="15" t="inlineStr">
        <is>
          <t>CNQDG ➔ NGLOS</t>
        </is>
      </c>
      <c r="E11" s="15" t="inlineStr">
        <is>
          <t>—</t>
        </is>
      </c>
      <c r="F11" s="15" t="inlineStr">
        <is>
          <t>40'OT</t>
        </is>
      </c>
      <c r="G11" s="16" t="inlineStr">
        <is>
          <t>—</t>
        </is>
      </c>
      <c r="H11" s="14" t="inlineStr">
        <is>
          <t>—</t>
        </is>
      </c>
      <c r="I11" s="15" t="n">
        <v>2</v>
      </c>
      <c r="J11" s="15" t="inlineStr">
        <is>
          <t>—</t>
        </is>
      </c>
      <c r="K11" s="15" t="inlineStr">
        <is>
          <t>—</t>
        </is>
      </c>
      <c r="L11" s="15" t="inlineStr">
        <is>
          <t>—</t>
        </is>
      </c>
      <c r="M11" s="15" t="inlineStr">
        <is>
          <t>—</t>
        </is>
      </c>
      <c r="N11" s="15" t="inlineStr">
        <is>
          <t>—</t>
        </is>
      </c>
      <c r="O11" s="15" t="inlineStr">
        <is>
          <t>—</t>
        </is>
      </c>
      <c r="P11" s="14" t="inlineStr">
        <is>
          <t>—</t>
        </is>
      </c>
      <c r="Q11" s="15" t="inlineStr"/>
      <c r="R11" s="15" t="inlineStr"/>
      <c r="S11" s="14" t="inlineStr"/>
    </row>
    <row r="12" ht="24" customHeight="1">
      <c r="A12" s="3" t="inlineStr"/>
      <c r="B12" s="4" t="n">
        <v>3</v>
      </c>
      <c r="C12" s="5" t="inlineStr"/>
      <c r="D12" s="6" t="inlineStr">
        <is>
          <t>CNQDG ➔ NGLOS</t>
        </is>
      </c>
      <c r="E12" s="6" t="inlineStr">
        <is>
          <t>—</t>
        </is>
      </c>
      <c r="F12" s="6" t="inlineStr">
        <is>
          <t>20'GP</t>
        </is>
      </c>
      <c r="G12" s="7" t="inlineStr">
        <is>
          <t>—</t>
        </is>
      </c>
      <c r="H12" s="5" t="inlineStr">
        <is>
          <t>—</t>
        </is>
      </c>
      <c r="I12" s="6" t="n">
        <v>1</v>
      </c>
      <c r="J12" s="6" t="inlineStr">
        <is>
          <t>—</t>
        </is>
      </c>
      <c r="K12" s="6" t="inlineStr">
        <is>
          <t>—</t>
        </is>
      </c>
      <c r="L12" s="6" t="inlineStr">
        <is>
          <t>—</t>
        </is>
      </c>
      <c r="M12" s="6" t="inlineStr">
        <is>
          <t>—</t>
        </is>
      </c>
      <c r="N12" s="6" t="inlineStr">
        <is>
          <t>—</t>
        </is>
      </c>
      <c r="O12" s="6" t="inlineStr">
        <is>
          <t>—</t>
        </is>
      </c>
      <c r="P12" s="5" t="inlineStr">
        <is>
          <t>—</t>
        </is>
      </c>
      <c r="Q12" s="6" t="inlineStr"/>
      <c r="R12" s="6" t="inlineStr"/>
      <c r="S12" s="5" t="inlineStr"/>
    </row>
    <row r="13" ht="24" customHeight="1">
      <c r="A13" s="3" t="inlineStr">
        <is>
          <t>REQ-1009</t>
        </is>
      </c>
      <c r="B13" s="4" t="n">
        <v>1</v>
      </c>
      <c r="C13" s="5" t="inlineStr">
        <is>
          <t>ONBOARD LOGISTICS</t>
        </is>
      </c>
      <c r="D13" s="6" t="inlineStr">
        <is>
          <t>CNQIN ➔ INMUN</t>
        </is>
      </c>
      <c r="E13" s="6" t="inlineStr">
        <is>
          <t>—</t>
        </is>
      </c>
      <c r="F13" s="6" t="inlineStr">
        <is>
          <t>20'GP</t>
        </is>
      </c>
      <c r="G13" s="7" t="inlineStr">
        <is>
          <t>23</t>
        </is>
      </c>
      <c r="H13" s="5" t="inlineStr">
        <is>
          <t>Ribbon</t>
        </is>
      </c>
      <c r="I13" s="6" t="n">
        <v>5</v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Origin:
Destination:</t>
        </is>
      </c>
      <c r="P13" s="5" t="inlineStr">
        <is>
          <t>—</t>
        </is>
      </c>
      <c r="Q13" s="6" t="inlineStr">
        <is>
          <t>New</t>
        </is>
      </c>
      <c r="R13" s="6" t="inlineStr">
        <is>
          <t>100%</t>
        </is>
      </c>
      <c r="S13" s="5" t="inlineStr">
        <is>
          <t>NO</t>
        </is>
      </c>
    </row>
    <row r="14" ht="24" customHeight="1">
      <c r="A14" s="12" t="inlineStr">
        <is>
          <t>REQ-1010</t>
        </is>
      </c>
      <c r="B14" s="13" t="n">
        <v>1</v>
      </c>
      <c r="C14" s="14" t="inlineStr">
        <is>
          <t>Anchorages Shipping Line</t>
        </is>
      </c>
      <c r="D14" s="15" t="inlineStr">
        <is>
          <t>CNCAN ➔ EGSOK</t>
        </is>
      </c>
      <c r="E14" s="15" t="inlineStr">
        <is>
          <t>—</t>
        </is>
      </c>
      <c r="F14" s="15" t="inlineStr">
        <is>
          <t>20'GP</t>
        </is>
      </c>
      <c r="G14" s="16" t="inlineStr">
        <is>
          <t>—</t>
        </is>
      </c>
      <c r="H14" s="14" t="inlineStr">
        <is>
          <t>—</t>
        </is>
      </c>
      <c r="I14" s="15" t="n">
        <v>1</v>
      </c>
      <c r="J14" s="15" t="inlineStr">
        <is>
          <t>—</t>
        </is>
      </c>
      <c r="K14" s="15" t="inlineStr">
        <is>
          <t>—</t>
        </is>
      </c>
      <c r="L14" s="15" t="inlineStr">
        <is>
          <t>—</t>
        </is>
      </c>
      <c r="M14" s="15" t="inlineStr">
        <is>
          <t>—</t>
        </is>
      </c>
      <c r="N14" s="15" t="inlineStr">
        <is>
          <t>—</t>
        </is>
      </c>
      <c r="O14" s="15" t="inlineStr">
        <is>
          <t>—</t>
        </is>
      </c>
      <c r="P14" s="14" t="inlineStr">
        <is>
          <t>—</t>
        </is>
      </c>
      <c r="Q14" s="15" t="inlineStr">
        <is>
          <t>New</t>
        </is>
      </c>
      <c r="R14" s="15" t="inlineStr">
        <is>
          <t>75%</t>
        </is>
      </c>
      <c r="S14" s="17" t="inlineStr">
        <is>
          <t>YES (Weight, Commodity)</t>
        </is>
      </c>
    </row>
    <row r="15" ht="24" customHeight="1">
      <c r="A15" s="3" t="inlineStr"/>
      <c r="B15" s="4" t="n">
        <v>2</v>
      </c>
      <c r="C15" s="5" t="inlineStr"/>
      <c r="D15" s="6" t="inlineStr">
        <is>
          <t>CNCAN ➔ EGSOK</t>
        </is>
      </c>
      <c r="E15" s="6" t="inlineStr">
        <is>
          <t>—</t>
        </is>
      </c>
      <c r="F15" s="6" t="inlineStr">
        <is>
          <t>40'HQ</t>
        </is>
      </c>
      <c r="G15" s="7" t="inlineStr">
        <is>
          <t>—</t>
        </is>
      </c>
      <c r="H15" s="5" t="inlineStr">
        <is>
          <t>—</t>
        </is>
      </c>
      <c r="I15" s="6" t="n">
        <v>1</v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5" t="inlineStr">
        <is>
          <t>—</t>
        </is>
      </c>
      <c r="Q15" s="6" t="inlineStr"/>
      <c r="R15" s="6" t="inlineStr"/>
      <c r="S15" s="5" t="inlineStr"/>
    </row>
    <row r="16" ht="24" customHeight="1">
      <c r="A16" s="12" t="inlineStr">
        <is>
          <t>REQ-1011</t>
        </is>
      </c>
      <c r="B16" s="13" t="n">
        <v>1</v>
      </c>
      <c r="C16" s="14" t="inlineStr">
        <is>
          <t>Anchorages Shipping Line</t>
        </is>
      </c>
      <c r="D16" s="15" t="inlineStr">
        <is>
          <t>CNCAN ➔ INNSA</t>
        </is>
      </c>
      <c r="E16" s="15" t="inlineStr">
        <is>
          <t>—</t>
        </is>
      </c>
      <c r="F16" s="15" t="inlineStr">
        <is>
          <t>20'GP</t>
        </is>
      </c>
      <c r="G16" s="16" t="inlineStr">
        <is>
          <t>—</t>
        </is>
      </c>
      <c r="H16" s="14" t="inlineStr">
        <is>
          <t>—</t>
        </is>
      </c>
      <c r="I16" s="15" t="n">
        <v>1</v>
      </c>
      <c r="J16" s="15" t="inlineStr">
        <is>
          <t>—</t>
        </is>
      </c>
      <c r="K16" s="15" t="inlineStr">
        <is>
          <t>—</t>
        </is>
      </c>
      <c r="L16" s="15" t="inlineStr">
        <is>
          <t>—</t>
        </is>
      </c>
      <c r="M16" s="15" t="inlineStr">
        <is>
          <t>—</t>
        </is>
      </c>
      <c r="N16" s="15" t="inlineStr">
        <is>
          <t>—</t>
        </is>
      </c>
      <c r="O16" s="15" t="inlineStr">
        <is>
          <t>—</t>
        </is>
      </c>
      <c r="P16" s="14" t="inlineStr">
        <is>
          <t>—</t>
        </is>
      </c>
      <c r="Q16" s="15" t="inlineStr">
        <is>
          <t>New</t>
        </is>
      </c>
      <c r="R16" s="15" t="inlineStr">
        <is>
          <t>75%</t>
        </is>
      </c>
      <c r="S16" s="17" t="inlineStr">
        <is>
          <t>YES (Weight, Commodity)</t>
        </is>
      </c>
    </row>
    <row r="17" ht="24" customHeight="1">
      <c r="A17" s="3" t="inlineStr"/>
      <c r="B17" s="4" t="n">
        <v>2</v>
      </c>
      <c r="C17" s="5" t="inlineStr"/>
      <c r="D17" s="6" t="inlineStr">
        <is>
          <t>CNCAN ➔ INNSA</t>
        </is>
      </c>
      <c r="E17" s="6" t="inlineStr">
        <is>
          <t>—</t>
        </is>
      </c>
      <c r="F17" s="6" t="inlineStr">
        <is>
          <t>40'HQ</t>
        </is>
      </c>
      <c r="G17" s="7" t="inlineStr">
        <is>
          <t>—</t>
        </is>
      </c>
      <c r="H17" s="5" t="inlineStr">
        <is>
          <t>—</t>
        </is>
      </c>
      <c r="I17" s="6" t="n">
        <v>1</v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5" t="inlineStr">
        <is>
          <t>—</t>
        </is>
      </c>
      <c r="Q17" s="6" t="inlineStr"/>
      <c r="R17" s="6" t="inlineStr"/>
      <c r="S17" s="5" t="inlineStr"/>
    </row>
    <row r="18" ht="24" customHeight="1">
      <c r="A18" s="12" t="inlineStr">
        <is>
          <t>REQ-1012</t>
        </is>
      </c>
      <c r="B18" s="13" t="n">
        <v>1</v>
      </c>
      <c r="C18" s="14" t="inlineStr">
        <is>
          <t>Anchorages Shipping Line</t>
        </is>
      </c>
      <c r="D18" s="15" t="inlineStr">
        <is>
          <t>CNCAN ➔ INMUN</t>
        </is>
      </c>
      <c r="E18" s="15" t="inlineStr">
        <is>
          <t>—</t>
        </is>
      </c>
      <c r="F18" s="15" t="inlineStr">
        <is>
          <t>20'GP</t>
        </is>
      </c>
      <c r="G18" s="16" t="inlineStr">
        <is>
          <t>—</t>
        </is>
      </c>
      <c r="H18" s="14" t="inlineStr">
        <is>
          <t>—</t>
        </is>
      </c>
      <c r="I18" s="15" t="n">
        <v>1</v>
      </c>
      <c r="J18" s="15" t="inlineStr">
        <is>
          <t>—</t>
        </is>
      </c>
      <c r="K18" s="15" t="inlineStr">
        <is>
          <t>—</t>
        </is>
      </c>
      <c r="L18" s="15" t="inlineStr">
        <is>
          <t>—</t>
        </is>
      </c>
      <c r="M18" s="15" t="inlineStr">
        <is>
          <t>—</t>
        </is>
      </c>
      <c r="N18" s="15" t="inlineStr">
        <is>
          <t>—</t>
        </is>
      </c>
      <c r="O18" s="15" t="inlineStr">
        <is>
          <t>—</t>
        </is>
      </c>
      <c r="P18" s="14" t="inlineStr">
        <is>
          <t>—</t>
        </is>
      </c>
      <c r="Q18" s="15" t="inlineStr">
        <is>
          <t>New</t>
        </is>
      </c>
      <c r="R18" s="15" t="inlineStr">
        <is>
          <t>75%</t>
        </is>
      </c>
      <c r="S18" s="17" t="inlineStr">
        <is>
          <t>YES (Weight, Commodity)</t>
        </is>
      </c>
    </row>
    <row r="19" ht="24" customHeight="1">
      <c r="A19" s="3" t="inlineStr"/>
      <c r="B19" s="4" t="n">
        <v>2</v>
      </c>
      <c r="C19" s="5" t="inlineStr"/>
      <c r="D19" s="6" t="inlineStr">
        <is>
          <t>CNCAN ➔ INMUN</t>
        </is>
      </c>
      <c r="E19" s="6" t="inlineStr">
        <is>
          <t>—</t>
        </is>
      </c>
      <c r="F19" s="6" t="inlineStr">
        <is>
          <t>40'HQ</t>
        </is>
      </c>
      <c r="G19" s="7" t="inlineStr">
        <is>
          <t>—</t>
        </is>
      </c>
      <c r="H19" s="5" t="inlineStr">
        <is>
          <t>—</t>
        </is>
      </c>
      <c r="I19" s="6" t="n">
        <v>1</v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5" t="inlineStr">
        <is>
          <t>—</t>
        </is>
      </c>
      <c r="Q19" s="6" t="inlineStr"/>
      <c r="R19" s="6" t="inlineStr"/>
      <c r="S19" s="5" t="inlineStr"/>
    </row>
    <row r="20" ht="24" customHeight="1">
      <c r="A20" s="12" t="inlineStr">
        <is>
          <t>REQ-1013</t>
        </is>
      </c>
      <c r="B20" s="13" t="n">
        <v>1</v>
      </c>
      <c r="C20" s="14" t="inlineStr">
        <is>
          <t>Anchorages Shipping Line</t>
        </is>
      </c>
      <c r="D20" s="15" t="inlineStr">
        <is>
          <t>CNCAN ➔ PKKHI</t>
        </is>
      </c>
      <c r="E20" s="15" t="inlineStr">
        <is>
          <t>—</t>
        </is>
      </c>
      <c r="F20" s="15" t="inlineStr">
        <is>
          <t>20'GP</t>
        </is>
      </c>
      <c r="G20" s="16" t="inlineStr">
        <is>
          <t>—</t>
        </is>
      </c>
      <c r="H20" s="14" t="inlineStr">
        <is>
          <t>—</t>
        </is>
      </c>
      <c r="I20" s="15" t="n">
        <v>1</v>
      </c>
      <c r="J20" s="15" t="inlineStr">
        <is>
          <t>—</t>
        </is>
      </c>
      <c r="K20" s="15" t="inlineStr">
        <is>
          <t>—</t>
        </is>
      </c>
      <c r="L20" s="15" t="inlineStr">
        <is>
          <t>—</t>
        </is>
      </c>
      <c r="M20" s="15" t="inlineStr">
        <is>
          <t>—</t>
        </is>
      </c>
      <c r="N20" s="15" t="inlineStr">
        <is>
          <t>—</t>
        </is>
      </c>
      <c r="O20" s="15" t="inlineStr">
        <is>
          <t>—</t>
        </is>
      </c>
      <c r="P20" s="14" t="inlineStr">
        <is>
          <t>—</t>
        </is>
      </c>
      <c r="Q20" s="15" t="inlineStr">
        <is>
          <t>New</t>
        </is>
      </c>
      <c r="R20" s="15" t="inlineStr">
        <is>
          <t>75%</t>
        </is>
      </c>
      <c r="S20" s="17" t="inlineStr">
        <is>
          <t>YES (Weight, Commodity)</t>
        </is>
      </c>
    </row>
    <row r="21" ht="24" customHeight="1">
      <c r="A21" s="3" t="inlineStr"/>
      <c r="B21" s="4" t="n">
        <v>2</v>
      </c>
      <c r="C21" s="5" t="inlineStr"/>
      <c r="D21" s="6" t="inlineStr">
        <is>
          <t>CNCAN ➔ PKKHI</t>
        </is>
      </c>
      <c r="E21" s="6" t="inlineStr">
        <is>
          <t>—</t>
        </is>
      </c>
      <c r="F21" s="6" t="inlineStr">
        <is>
          <t>40'HQ</t>
        </is>
      </c>
      <c r="G21" s="7" t="inlineStr">
        <is>
          <t>—</t>
        </is>
      </c>
      <c r="H21" s="5" t="inlineStr">
        <is>
          <t>—</t>
        </is>
      </c>
      <c r="I21" s="6" t="n">
        <v>1</v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5" t="inlineStr">
        <is>
          <t>—</t>
        </is>
      </c>
      <c r="Q21" s="6" t="inlineStr"/>
      <c r="R21" s="6" t="inlineStr"/>
      <c r="S21" s="5" t="inlineStr"/>
    </row>
    <row r="22" ht="24" customHeight="1">
      <c r="A22" s="12" t="inlineStr">
        <is>
          <t>REQ-1014</t>
        </is>
      </c>
      <c r="B22" s="13" t="n">
        <v>1</v>
      </c>
      <c r="C22" s="14" t="inlineStr">
        <is>
          <t>Anchorages Shipping Line</t>
        </is>
      </c>
      <c r="D22" s="15" t="inlineStr">
        <is>
          <t>CNCAN ➔ MYPKG</t>
        </is>
      </c>
      <c r="E22" s="15" t="inlineStr">
        <is>
          <t>—</t>
        </is>
      </c>
      <c r="F22" s="15" t="inlineStr">
        <is>
          <t>20'GP</t>
        </is>
      </c>
      <c r="G22" s="16" t="inlineStr">
        <is>
          <t>—</t>
        </is>
      </c>
      <c r="H22" s="14" t="inlineStr">
        <is>
          <t>—</t>
        </is>
      </c>
      <c r="I22" s="15" t="n">
        <v>1</v>
      </c>
      <c r="J22" s="15" t="inlineStr">
        <is>
          <t>—</t>
        </is>
      </c>
      <c r="K22" s="15" t="inlineStr">
        <is>
          <t>—</t>
        </is>
      </c>
      <c r="L22" s="15" t="inlineStr">
        <is>
          <t>—</t>
        </is>
      </c>
      <c r="M22" s="15" t="inlineStr">
        <is>
          <t>—</t>
        </is>
      </c>
      <c r="N22" s="15" t="inlineStr">
        <is>
          <t>—</t>
        </is>
      </c>
      <c r="O22" s="15" t="inlineStr">
        <is>
          <t>—</t>
        </is>
      </c>
      <c r="P22" s="14" t="inlineStr">
        <is>
          <t>—</t>
        </is>
      </c>
      <c r="Q22" s="15" t="inlineStr">
        <is>
          <t>New</t>
        </is>
      </c>
      <c r="R22" s="15" t="inlineStr">
        <is>
          <t>75%</t>
        </is>
      </c>
      <c r="S22" s="17" t="inlineStr">
        <is>
          <t>YES (Weight, Commodity)</t>
        </is>
      </c>
    </row>
    <row r="23" ht="24" customHeight="1">
      <c r="A23" s="3" t="inlineStr"/>
      <c r="B23" s="4" t="n">
        <v>2</v>
      </c>
      <c r="C23" s="5" t="inlineStr"/>
      <c r="D23" s="6" t="inlineStr">
        <is>
          <t>CNCAN ➔ MYPKG</t>
        </is>
      </c>
      <c r="E23" s="6" t="inlineStr">
        <is>
          <t>—</t>
        </is>
      </c>
      <c r="F23" s="6" t="inlineStr">
        <is>
          <t>40'HQ</t>
        </is>
      </c>
      <c r="G23" s="7" t="inlineStr">
        <is>
          <t>—</t>
        </is>
      </c>
      <c r="H23" s="5" t="inlineStr">
        <is>
          <t>—</t>
        </is>
      </c>
      <c r="I23" s="6" t="n">
        <v>1</v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5" t="inlineStr">
        <is>
          <t>—</t>
        </is>
      </c>
      <c r="Q23" s="6" t="inlineStr"/>
      <c r="R23" s="6" t="inlineStr"/>
      <c r="S23" s="5" t="inlineStr"/>
    </row>
    <row r="24" ht="24" customHeight="1">
      <c r="A24" s="3" t="inlineStr">
        <is>
          <t>REQ-1015</t>
        </is>
      </c>
      <c r="B24" s="4" t="n">
        <v>1</v>
      </c>
      <c r="C24" s="5" t="inlineStr">
        <is>
          <t>SHANDONG YAME HOUSEHOLD PRODUCTS CO., LTD.</t>
        </is>
      </c>
      <c r="D24" s="6" t="inlineStr">
        <is>
          <t>CNXMN ➔ CIABJ</t>
        </is>
      </c>
      <c r="E24" s="6" t="inlineStr">
        <is>
          <t>—</t>
        </is>
      </c>
      <c r="F24" s="6" t="inlineStr">
        <is>
          <t>40'HQ</t>
        </is>
      </c>
      <c r="G24" s="7" t="inlineStr">
        <is>
          <t>25</t>
        </is>
      </c>
      <c r="H24" s="5" t="inlineStr">
        <is>
          <t>Virgin Pulp Kitchen Tissue Jumbo Roll</t>
        </is>
      </c>
      <c r="I24" s="6" t="n">
        <v>100</v>
      </c>
      <c r="J24" s="6" t="inlineStr">
        <is>
          <t>—</t>
        </is>
      </c>
      <c r="K24" s="6" t="inlineStr">
        <is>
          <t>—</t>
        </is>
      </c>
      <c r="L24" s="6" t="inlineStr">
        <is>
          <t>$300</t>
        </is>
      </c>
      <c r="M24" s="6" t="inlineStr">
        <is>
          <t>—</t>
        </is>
      </c>
      <c r="N24" s="6" t="inlineStr">
        <is>
          <t>—</t>
        </is>
      </c>
      <c r="O24" s="6" t="inlineStr">
        <is>
          <t>Origin:
Destination:</t>
        </is>
      </c>
      <c r="P24" s="5" t="inlineStr">
        <is>
          <t>—</t>
        </is>
      </c>
      <c r="Q24" s="6" t="inlineStr">
        <is>
          <t>New</t>
        </is>
      </c>
      <c r="R24" s="6" t="inlineStr">
        <is>
          <t>100%</t>
        </is>
      </c>
      <c r="S24" s="5" t="inlineStr">
        <is>
          <t>NO</t>
        </is>
      </c>
    </row>
    <row r="25" ht="24" customHeight="1">
      <c r="A25" s="3" t="inlineStr">
        <is>
          <t>REQ-1016</t>
        </is>
      </c>
      <c r="B25" s="4" t="n">
        <v>1</v>
      </c>
      <c r="C25" s="5" t="inlineStr">
        <is>
          <t>Summer Win International Logistics Co., Ltd.</t>
        </is>
      </c>
      <c r="D25" s="6" t="inlineStr">
        <is>
          <t>CNSWA ➔ ZACPT</t>
        </is>
      </c>
      <c r="E25" s="6" t="inlineStr">
        <is>
          <t>—</t>
        </is>
      </c>
      <c r="F25" s="6" t="inlineStr">
        <is>
          <t>40'RF</t>
        </is>
      </c>
      <c r="G25" s="7" t="inlineStr">
        <is>
          <t>—</t>
        </is>
      </c>
      <c r="H25" s="5" t="inlineStr">
        <is>
          <t>—</t>
        </is>
      </c>
      <c r="I25" s="6" t="n">
        <v>1</v>
      </c>
      <c r="J25" s="6" t="inlineStr">
        <is>
          <t>—</t>
        </is>
      </c>
      <c r="K25" s="6" t="inlineStr">
        <is>
          <t>—</t>
        </is>
      </c>
      <c r="L25" s="6" t="inlineStr">
        <is>
          <t>$280/40RF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Origin: 10d
Destination:</t>
        </is>
      </c>
      <c r="P25" s="5" t="inlineStr">
        <is>
          <t>—</t>
        </is>
      </c>
      <c r="Q25" s="6" t="inlineStr">
        <is>
          <t>New</t>
        </is>
      </c>
      <c r="R25" s="6" t="inlineStr">
        <is>
          <t>75%</t>
        </is>
      </c>
      <c r="S25" s="8" t="inlineStr">
        <is>
          <t>YES (Weight, Commodity)</t>
        </is>
      </c>
    </row>
    <row r="26" ht="24" customHeight="1">
      <c r="A26" s="3" t="inlineStr">
        <is>
          <t>REQ-1017</t>
        </is>
      </c>
      <c r="B26" s="4" t="n">
        <v>1</v>
      </c>
      <c r="C26" s="5" t="inlineStr">
        <is>
          <t>GLOBAL ONE INTERNATIONAL LOGISTICS CO., LTD.</t>
        </is>
      </c>
      <c r="D26" s="6" t="inlineStr">
        <is>
          <t>CNTJN ➔ TRMRS</t>
        </is>
      </c>
      <c r="E26" s="6" t="inlineStr">
        <is>
          <t>—</t>
        </is>
      </c>
      <c r="F26" s="6" t="inlineStr">
        <is>
          <t>40'HQ</t>
        </is>
      </c>
      <c r="G26" s="7" t="inlineStr">
        <is>
          <t>—</t>
        </is>
      </c>
      <c r="H26" s="5" t="inlineStr">
        <is>
          <t>—</t>
        </is>
      </c>
      <c r="I26" s="6" t="n">
        <v>3</v>
      </c>
      <c r="J26" s="6" t="inlineStr">
        <is>
          <t>—</t>
        </is>
      </c>
      <c r="K26" s="6" t="inlineStr">
        <is>
          <t>—</t>
        </is>
      </c>
      <c r="L26" s="6" t="inlineStr">
        <is>
          <t>—</t>
        </is>
      </c>
      <c r="M26" s="6" t="inlineStr">
        <is>
          <t>—</t>
        </is>
      </c>
      <c r="N26" s="6" t="inlineStr">
        <is>
          <t>—</t>
        </is>
      </c>
      <c r="O26" s="6" t="inlineStr">
        <is>
          <t>—</t>
        </is>
      </c>
      <c r="P26" s="5" t="inlineStr">
        <is>
          <t>—</t>
        </is>
      </c>
      <c r="Q26" s="6" t="inlineStr">
        <is>
          <t>New</t>
        </is>
      </c>
      <c r="R26" s="6" t="inlineStr">
        <is>
          <t>75%</t>
        </is>
      </c>
      <c r="S26" s="8" t="inlineStr">
        <is>
          <t>YES (Weight, Commodity)</t>
        </is>
      </c>
    </row>
    <row r="27" ht="24" customHeight="1">
      <c r="A27" s="3" t="inlineStr">
        <is>
          <t>REQ-1018</t>
        </is>
      </c>
      <c r="B27" s="4" t="n">
        <v>1</v>
      </c>
      <c r="C27" s="5" t="inlineStr">
        <is>
          <t>SX Jinyu Kaolin</t>
        </is>
      </c>
      <c r="D27" s="6" t="inlineStr">
        <is>
          <t>MXZLO ➔ UNKNOWN</t>
        </is>
      </c>
      <c r="E27" s="6" t="inlineStr">
        <is>
          <t>—</t>
        </is>
      </c>
      <c r="F27" s="6" t="inlineStr">
        <is>
          <t>20'GP</t>
        </is>
      </c>
      <c r="G27" s="7" t="inlineStr">
        <is>
          <t>12.4</t>
        </is>
      </c>
      <c r="H27" s="5" t="inlineStr">
        <is>
          <t>—</t>
        </is>
      </c>
      <c r="I27" s="6" t="n">
        <v>1</v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Origin: 16d
Destination:</t>
        </is>
      </c>
      <c r="P27" s="5" t="inlineStr">
        <is>
          <t>—</t>
        </is>
      </c>
      <c r="Q27" s="6" t="inlineStr">
        <is>
          <t>New</t>
        </is>
      </c>
      <c r="R27" s="6" t="inlineStr">
        <is>
          <t>75%</t>
        </is>
      </c>
      <c r="S27" s="8" t="inlineStr">
        <is>
          <t>YES (POD, Commodity)</t>
        </is>
      </c>
    </row>
    <row r="28" ht="24" customHeight="1">
      <c r="A28" s="12" t="inlineStr">
        <is>
          <t>REQ-1019</t>
        </is>
      </c>
      <c r="B28" s="13" t="n">
        <v>1</v>
      </c>
      <c r="C28" s="14" t="inlineStr">
        <is>
          <t>—</t>
        </is>
      </c>
      <c r="D28" s="15" t="inlineStr">
        <is>
          <t>CNNSA ➔ SYLAT</t>
        </is>
      </c>
      <c r="E28" s="15" t="inlineStr">
        <is>
          <t>—</t>
        </is>
      </c>
      <c r="F28" s="15" t="inlineStr">
        <is>
          <t>40'HQ</t>
        </is>
      </c>
      <c r="G28" s="16" t="inlineStr">
        <is>
          <t>10.5</t>
        </is>
      </c>
      <c r="H28" s="14" t="inlineStr">
        <is>
          <t>Mailander Printing Machines</t>
        </is>
      </c>
      <c r="I28" s="15" t="n">
        <v>2</v>
      </c>
      <c r="J28" s="15" t="inlineStr">
        <is>
          <t>—</t>
        </is>
      </c>
      <c r="K28" s="15" t="inlineStr">
        <is>
          <t>—</t>
        </is>
      </c>
      <c r="L28" s="15" t="inlineStr">
        <is>
          <t>—</t>
        </is>
      </c>
      <c r="M28" s="15" t="inlineStr">
        <is>
          <t>—</t>
        </is>
      </c>
      <c r="N28" s="15" t="inlineStr">
        <is>
          <t>OOG</t>
        </is>
      </c>
      <c r="O28" s="15" t="inlineStr">
        <is>
          <t>Origin:
Destination:</t>
        </is>
      </c>
      <c r="P28" s="14" t="inlineStr">
        <is>
          <t>—</t>
        </is>
      </c>
      <c r="Q28" s="15" t="inlineStr">
        <is>
          <t>New</t>
        </is>
      </c>
      <c r="R28" s="15" t="inlineStr">
        <is>
          <t>85%</t>
        </is>
      </c>
      <c r="S28" s="17" t="inlineStr">
        <is>
          <t>YES (Customer)</t>
        </is>
      </c>
    </row>
    <row r="29" ht="24" customHeight="1">
      <c r="A29" s="3" t="inlineStr"/>
      <c r="B29" s="4" t="n">
        <v>2</v>
      </c>
      <c r="C29" s="5" t="inlineStr"/>
      <c r="D29" s="6" t="inlineStr">
        <is>
          <t>CNNSA ➔ SYLAT</t>
        </is>
      </c>
      <c r="E29" s="6" t="inlineStr">
        <is>
          <t>—</t>
        </is>
      </c>
      <c r="F29" s="6" t="inlineStr">
        <is>
          <t>40'FR</t>
        </is>
      </c>
      <c r="G29" s="7" t="inlineStr">
        <is>
          <t>10.5</t>
        </is>
      </c>
      <c r="H29" s="5" t="inlineStr">
        <is>
          <t>Mailander Printing Machines</t>
        </is>
      </c>
      <c r="I29" s="6" t="n">
        <v>1</v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OOG</t>
        </is>
      </c>
      <c r="N29" s="6" t="inlineStr">
        <is>
          <t>—</t>
        </is>
      </c>
      <c r="O29" s="6" t="inlineStr">
        <is>
          <t>Origin:
Destination:</t>
        </is>
      </c>
      <c r="P29" s="5" t="inlineStr">
        <is>
          <t>—</t>
        </is>
      </c>
      <c r="Q29" s="6" t="inlineStr"/>
      <c r="R29" s="6" t="inlineStr"/>
      <c r="S29" s="5" t="inlineStr"/>
    </row>
    <row r="30" ht="24" customHeight="1">
      <c r="A30" s="3" t="inlineStr">
        <is>
          <t>REQ-1020</t>
        </is>
      </c>
      <c r="B30" s="4" t="n">
        <v>1</v>
      </c>
      <c r="C30" s="5" t="inlineStr">
        <is>
          <t>Kuehne + Nagel</t>
        </is>
      </c>
      <c r="D30" s="6" t="inlineStr">
        <is>
          <t>CNSHA ➔ EGAIS</t>
        </is>
      </c>
      <c r="E30" s="6" t="inlineStr">
        <is>
          <t>—</t>
        </is>
      </c>
      <c r="F30" s="6" t="inlineStr">
        <is>
          <t>40'HQ</t>
        </is>
      </c>
      <c r="G30" s="7" t="inlineStr">
        <is>
          <t>15</t>
        </is>
      </c>
      <c r="H30" s="5" t="inlineStr">
        <is>
          <t>Escalator Parts, Elevator Parts, Step Chain, Handrail, Gear Box, Motor</t>
        </is>
      </c>
      <c r="I30" s="6" t="n">
        <v>6</v>
      </c>
      <c r="J30" s="6" t="inlineStr">
        <is>
          <t>SATRIA / V.0096W</t>
        </is>
      </c>
      <c r="K30" s="6" t="inlineStr">
        <is>
          <t>—</t>
        </is>
      </c>
      <c r="L30" s="6" t="inlineStr">
        <is>
          <t>$8500</t>
        </is>
      </c>
      <c r="M30" s="6" t="inlineStr">
        <is>
          <t>—</t>
        </is>
      </c>
      <c r="N30" s="6" t="inlineStr">
        <is>
          <t>—</t>
        </is>
      </c>
      <c r="O30" s="6" t="inlineStr">
        <is>
          <t>Origin: 21d combined (DEM+ DET)
Destination:</t>
        </is>
      </c>
      <c r="P30" s="5" t="inlineStr">
        <is>
          <t>—</t>
        </is>
      </c>
      <c r="Q30" s="6" t="inlineStr">
        <is>
          <t>New</t>
        </is>
      </c>
      <c r="R30" s="6" t="inlineStr">
        <is>
          <t>100%</t>
        </is>
      </c>
      <c r="S30" s="5" t="inlineStr">
        <is>
          <t>NO</t>
        </is>
      </c>
    </row>
    <row r="31" ht="24" customHeight="1">
      <c r="A31" s="3" t="inlineStr">
        <is>
          <t>REQ-1021</t>
        </is>
      </c>
      <c r="B31" s="4" t="n">
        <v>1</v>
      </c>
      <c r="C31" s="5" t="inlineStr">
        <is>
          <t>QINGDAO KINGTRANS LOGISTICS CO.,LTD</t>
        </is>
      </c>
      <c r="D31" s="6" t="inlineStr">
        <is>
          <t>CNSHA ➔ YEADE</t>
        </is>
      </c>
      <c r="E31" s="6" t="inlineStr">
        <is>
          <t>—</t>
        </is>
      </c>
      <c r="F31" s="6" t="inlineStr">
        <is>
          <t>40'HQ</t>
        </is>
      </c>
      <c r="G31" s="7" t="inlineStr">
        <is>
          <t>12</t>
        </is>
      </c>
      <c r="H31" s="5" t="inlineStr">
        <is>
          <t>—</t>
        </is>
      </c>
      <c r="I31" s="6" t="n">
        <v>3</v>
      </c>
      <c r="J31" s="6" t="inlineStr">
        <is>
          <t>—</t>
        </is>
      </c>
      <c r="K31" s="6" t="inlineStr">
        <is>
          <t>—</t>
        </is>
      </c>
      <c r="L31" s="6" t="inlineStr">
        <is>
          <t>$120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Origin:
Destination:</t>
        </is>
      </c>
      <c r="P31" s="5" t="inlineStr">
        <is>
          <t>—</t>
        </is>
      </c>
      <c r="Q31" s="6" t="inlineStr">
        <is>
          <t>New</t>
        </is>
      </c>
      <c r="R31" s="6" t="inlineStr">
        <is>
          <t>90%</t>
        </is>
      </c>
      <c r="S31" s="8" t="inlineStr">
        <is>
          <t>YES (Commodity)</t>
        </is>
      </c>
    </row>
    <row r="32" ht="24" customHeight="1">
      <c r="A32" s="3" t="inlineStr">
        <is>
          <t>REQ-1022</t>
        </is>
      </c>
      <c r="B32" s="4" t="n">
        <v>1</v>
      </c>
      <c r="C32" s="5" t="inlineStr">
        <is>
          <t>Savino Del Bene Mexico S.A. de C.V.</t>
        </is>
      </c>
      <c r="D32" s="6" t="inlineStr">
        <is>
          <t>MXLZC ➔ ECGYE</t>
        </is>
      </c>
      <c r="E32" s="6" t="inlineStr">
        <is>
          <t>—</t>
        </is>
      </c>
      <c r="F32" s="6" t="inlineStr">
        <is>
          <t>40'HQ</t>
        </is>
      </c>
      <c r="G32" s="7" t="inlineStr">
        <is>
          <t>26</t>
        </is>
      </c>
      <c r="H32" s="5" t="inlineStr">
        <is>
          <t>F.A. 68091101 and 32141001</t>
        </is>
      </c>
      <c r="I32" s="6" t="n">
        <v>20</v>
      </c>
      <c r="J32" s="6" t="inlineStr">
        <is>
          <t>—</t>
        </is>
      </c>
      <c r="K32" s="6" t="inlineStr">
        <is>
          <t>—</t>
        </is>
      </c>
      <c r="L32" s="6" t="inlineStr">
        <is>
          <t>—</t>
        </is>
      </c>
      <c r="M32" s="6" t="inlineStr">
        <is>
          <t>—</t>
        </is>
      </c>
      <c r="N32" s="6" t="inlineStr">
        <is>
          <t>Customs Clearance</t>
        </is>
      </c>
      <c r="O32" s="6" t="inlineStr">
        <is>
          <t>Origin: 21d
Destination: 21d</t>
        </is>
      </c>
      <c r="P32" s="5" t="inlineStr">
        <is>
          <t>Prefer direct routes, avoid transshipment in Panama, confirm if container cleaning is included at destination or what the cost is.</t>
        </is>
      </c>
      <c r="Q32" s="6" t="inlineStr">
        <is>
          <t>New</t>
        </is>
      </c>
      <c r="R32" s="6" t="inlineStr">
        <is>
          <t>100%</t>
        </is>
      </c>
      <c r="S32" s="5" t="inlineStr">
        <is>
          <t>NO</t>
        </is>
      </c>
    </row>
    <row r="33" ht="24" customHeight="1">
      <c r="A33" s="3" t="inlineStr">
        <is>
          <t>REQ-1023</t>
        </is>
      </c>
      <c r="B33" s="4" t="n">
        <v>1</v>
      </c>
      <c r="C33" s="5" t="inlineStr">
        <is>
          <t>DHL Global Forwarding Colombia</t>
        </is>
      </c>
      <c r="D33" s="6" t="inlineStr">
        <is>
          <t>COVBC ➔ PECALL</t>
        </is>
      </c>
      <c r="E33" s="6" t="inlineStr">
        <is>
          <t>—</t>
        </is>
      </c>
      <c r="F33" s="6" t="inlineStr">
        <is>
          <t>20'GP</t>
        </is>
      </c>
      <c r="G33" s="7" t="inlineStr">
        <is>
          <t>—</t>
        </is>
      </c>
      <c r="H33" s="5" t="inlineStr">
        <is>
          <t>Sugar</t>
        </is>
      </c>
      <c r="I33" s="6" t="n">
        <v>5</v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Origin: 20d
Destination: 21d</t>
        </is>
      </c>
      <c r="P33" s="5" t="inlineStr">
        <is>
          <t>—</t>
        </is>
      </c>
      <c r="Q33" s="6" t="inlineStr">
        <is>
          <t>New</t>
        </is>
      </c>
      <c r="R33" s="6" t="inlineStr">
        <is>
          <t>85%</t>
        </is>
      </c>
      <c r="S33" s="8" t="inlineStr">
        <is>
          <t>YES (Weight)</t>
        </is>
      </c>
    </row>
    <row r="34" ht="24" customHeight="1">
      <c r="A34" s="12" t="inlineStr">
        <is>
          <t>REQ-1024</t>
        </is>
      </c>
      <c r="B34" s="13" t="n">
        <v>1</v>
      </c>
      <c r="C34" s="14" t="inlineStr">
        <is>
          <t>QNEX GLOBAL SDN BHD</t>
        </is>
      </c>
      <c r="D34" s="15" t="inlineStr">
        <is>
          <t>MYPKG ➔ TRAMR</t>
        </is>
      </c>
      <c r="E34" s="15" t="inlineStr">
        <is>
          <t>SEP 01, 2026 – SEP 30, 2026</t>
        </is>
      </c>
      <c r="F34" s="15" t="inlineStr">
        <is>
          <t>20'GP</t>
        </is>
      </c>
      <c r="G34" s="16" t="inlineStr">
        <is>
          <t>—</t>
        </is>
      </c>
      <c r="H34" s="14" t="inlineStr">
        <is>
          <t>Latex in IBC</t>
        </is>
      </c>
      <c r="I34" s="15" t="n">
        <v>1</v>
      </c>
      <c r="J34" s="15" t="inlineStr">
        <is>
          <t>—</t>
        </is>
      </c>
      <c r="K34" s="15" t="inlineStr">
        <is>
          <t>—</t>
        </is>
      </c>
      <c r="L34" s="15" t="inlineStr">
        <is>
          <t>—</t>
        </is>
      </c>
      <c r="M34" s="15" t="inlineStr">
        <is>
          <t>—</t>
        </is>
      </c>
      <c r="N34" s="15" t="inlineStr">
        <is>
          <t>—</t>
        </is>
      </c>
      <c r="O34" s="15" t="inlineStr">
        <is>
          <t>Origin:
Destination:</t>
        </is>
      </c>
      <c r="P34" s="14" t="inlineStr">
        <is>
          <t>—</t>
        </is>
      </c>
      <c r="Q34" s="15" t="inlineStr">
        <is>
          <t>New</t>
        </is>
      </c>
      <c r="R34" s="15" t="inlineStr">
        <is>
          <t>85%</t>
        </is>
      </c>
      <c r="S34" s="17" t="inlineStr">
        <is>
          <t>YES (Weight)</t>
        </is>
      </c>
    </row>
    <row r="35" ht="24" customHeight="1">
      <c r="A35" s="3" t="inlineStr"/>
      <c r="B35" s="4" t="n">
        <v>2</v>
      </c>
      <c r="C35" s="5" t="inlineStr"/>
      <c r="D35" s="6" t="inlineStr">
        <is>
          <t>MYPKG ➔ TRAMR</t>
        </is>
      </c>
      <c r="E35" s="6" t="inlineStr">
        <is>
          <t>SEP 01, 2026 – SEP 30, 2026</t>
        </is>
      </c>
      <c r="F35" s="6" t="inlineStr">
        <is>
          <t>40'GP</t>
        </is>
      </c>
      <c r="G35" s="7" t="inlineStr">
        <is>
          <t>—</t>
        </is>
      </c>
      <c r="H35" s="5" t="inlineStr">
        <is>
          <t>Latex in IBC</t>
        </is>
      </c>
      <c r="I35" s="6" t="n">
        <v>1</v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Origin:
Destination:</t>
        </is>
      </c>
      <c r="P35" s="5" t="inlineStr">
        <is>
          <t>—</t>
        </is>
      </c>
      <c r="Q35" s="6" t="inlineStr"/>
      <c r="R35" s="6" t="inlineStr"/>
      <c r="S35" s="5" t="inlineStr"/>
    </row>
    <row r="36" ht="24" customHeight="1">
      <c r="A36" s="3" t="inlineStr">
        <is>
          <t>REQ-1025</t>
        </is>
      </c>
      <c r="B36" s="4" t="n">
        <v>1</v>
      </c>
      <c r="C36" s="5" t="inlineStr">
        <is>
          <t>WTL (Myanmar) International Logistics Co., Ltd.</t>
        </is>
      </c>
      <c r="D36" s="6" t="inlineStr">
        <is>
          <t>MMYGN ➔ PKKHI</t>
        </is>
      </c>
      <c r="E36" s="6" t="inlineStr">
        <is>
          <t>AUG 20, 2026 – AUG 31, 2026</t>
        </is>
      </c>
      <c r="F36" s="6" t="inlineStr">
        <is>
          <t>20'GP</t>
        </is>
      </c>
      <c r="G36" s="7" t="inlineStr">
        <is>
          <t>—</t>
        </is>
      </c>
      <c r="H36" s="5" t="inlineStr">
        <is>
          <t>Beans</t>
        </is>
      </c>
      <c r="I36" s="6" t="n">
        <v>1</v>
      </c>
      <c r="J36" s="6" t="inlineStr">
        <is>
          <t>—</t>
        </is>
      </c>
      <c r="K36" s="6" t="inlineStr">
        <is>
          <t>—</t>
        </is>
      </c>
      <c r="L36" s="6" t="inlineStr">
        <is>
          <t>$340</t>
        </is>
      </c>
      <c r="M36" s="6" t="inlineStr">
        <is>
          <t>—</t>
        </is>
      </c>
      <c r="N36" s="6" t="inlineStr">
        <is>
          <t>—</t>
        </is>
      </c>
      <c r="O36" s="6" t="inlineStr">
        <is>
          <t>Origin: 7d
Destination: 7d</t>
        </is>
      </c>
      <c r="P36" s="5" t="inlineStr">
        <is>
          <t>—</t>
        </is>
      </c>
      <c r="Q36" s="6" t="inlineStr">
        <is>
          <t>New</t>
        </is>
      </c>
      <c r="R36" s="6" t="inlineStr">
        <is>
          <t>85%</t>
        </is>
      </c>
      <c r="S36" s="8" t="inlineStr">
        <is>
          <t>YES (Weight)</t>
        </is>
      </c>
    </row>
    <row r="37" ht="24" customHeight="1">
      <c r="A37" s="3" t="inlineStr">
        <is>
          <t>REQ-1026</t>
        </is>
      </c>
      <c r="B37" s="4" t="n">
        <v>1</v>
      </c>
      <c r="C37" s="5" t="inlineStr">
        <is>
          <t>Surtax</t>
        </is>
      </c>
      <c r="D37" s="6" t="inlineStr">
        <is>
          <t>ECGYE ➔ MXZLO</t>
        </is>
      </c>
      <c r="E37" s="6" t="inlineStr">
        <is>
          <t>—</t>
        </is>
      </c>
      <c r="F37" s="6" t="inlineStr">
        <is>
          <t>40'HQ</t>
        </is>
      </c>
      <c r="G37" s="7" t="inlineStr">
        <is>
          <t>—</t>
        </is>
      </c>
      <c r="H37" s="5" t="inlineStr">
        <is>
          <t>Chairs</t>
        </is>
      </c>
      <c r="I37" s="6" t="n">
        <v>1</v>
      </c>
      <c r="J37" s="6" t="inlineStr">
        <is>
          <t>—</t>
        </is>
      </c>
      <c r="K37" s="6" t="inlineStr">
        <is>
          <t>—</t>
        </is>
      </c>
      <c r="L37" s="6" t="inlineStr">
        <is>
          <t>$15000</t>
        </is>
      </c>
      <c r="M37" s="6" t="inlineStr">
        <is>
          <t>—</t>
        </is>
      </c>
      <c r="N37" s="6" t="inlineStr">
        <is>
          <t>Customs Clearance, Cargo Insurance, Inland Trucking</t>
        </is>
      </c>
      <c r="O37" s="6" t="inlineStr">
        <is>
          <t>Origin:
Destination:</t>
        </is>
      </c>
      <c r="P37" s="5" t="inlineStr">
        <is>
          <t>—</t>
        </is>
      </c>
      <c r="Q37" s="6" t="inlineStr">
        <is>
          <t>New</t>
        </is>
      </c>
      <c r="R37" s="6" t="inlineStr">
        <is>
          <t>85%</t>
        </is>
      </c>
      <c r="S37" s="8" t="inlineStr">
        <is>
          <t>YES (Weight)</t>
        </is>
      </c>
    </row>
    <row r="38" ht="24" customHeight="1">
      <c r="A38" s="3" t="inlineStr">
        <is>
          <t>REQ-1027</t>
        </is>
      </c>
      <c r="B38" s="4" t="n">
        <v>1</v>
      </c>
      <c r="C38" s="5" t="inlineStr">
        <is>
          <t>Surtax</t>
        </is>
      </c>
      <c r="D38" s="6" t="inlineStr">
        <is>
          <t>ECGYE ➔ MXZLO</t>
        </is>
      </c>
      <c r="E38" s="6" t="inlineStr">
        <is>
          <t>—</t>
        </is>
      </c>
      <c r="F38" s="6" t="inlineStr">
        <is>
          <t>40'GP</t>
        </is>
      </c>
      <c r="G38" s="7" t="inlineStr">
        <is>
          <t>—</t>
        </is>
      </c>
      <c r="H38" s="5" t="inlineStr">
        <is>
          <t>Canned Tuna</t>
        </is>
      </c>
      <c r="I38" s="6" t="n">
        <v>1</v>
      </c>
      <c r="J38" s="6" t="inlineStr">
        <is>
          <t>—</t>
        </is>
      </c>
      <c r="K38" s="6" t="inlineStr">
        <is>
          <t>—</t>
        </is>
      </c>
      <c r="L38" s="6" t="inlineStr">
        <is>
          <t>—</t>
        </is>
      </c>
      <c r="M38" s="6" t="inlineStr">
        <is>
          <t>—</t>
        </is>
      </c>
      <c r="N38" s="6" t="inlineStr">
        <is>
          <t>—</t>
        </is>
      </c>
      <c r="O38" s="6" t="inlineStr">
        <is>
          <t>Origin:
Destination:</t>
        </is>
      </c>
      <c r="P38" s="5" t="inlineStr">
        <is>
          <t>—</t>
        </is>
      </c>
      <c r="Q38" s="6" t="inlineStr">
        <is>
          <t>New</t>
        </is>
      </c>
      <c r="R38" s="6" t="inlineStr">
        <is>
          <t>85%</t>
        </is>
      </c>
      <c r="S38" s="8" t="inlineStr">
        <is>
          <t>YES (Weight)</t>
        </is>
      </c>
    </row>
    <row r="39" ht="24" customHeight="1">
      <c r="A39" s="3" t="inlineStr">
        <is>
          <t>REQ-1028</t>
        </is>
      </c>
      <c r="B39" s="4" t="n">
        <v>1</v>
      </c>
      <c r="C39" s="5" t="inlineStr">
        <is>
          <t>Surtax</t>
        </is>
      </c>
      <c r="D39" s="6" t="inlineStr">
        <is>
          <t>ECGYE ➔ MXVER</t>
        </is>
      </c>
      <c r="E39" s="6" t="inlineStr">
        <is>
          <t>—</t>
        </is>
      </c>
      <c r="F39" s="6" t="inlineStr">
        <is>
          <t>20'GP</t>
        </is>
      </c>
      <c r="G39" s="7" t="inlineStr">
        <is>
          <t>—</t>
        </is>
      </c>
      <c r="H39" s="5" t="inlineStr">
        <is>
          <t>Canned Tuna</t>
        </is>
      </c>
      <c r="I39" s="6" t="n">
        <v>1</v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Origin:
Destination:</t>
        </is>
      </c>
      <c r="P39" s="5" t="inlineStr">
        <is>
          <t>—</t>
        </is>
      </c>
      <c r="Q39" s="6" t="inlineStr">
        <is>
          <t>New</t>
        </is>
      </c>
      <c r="R39" s="6" t="inlineStr">
        <is>
          <t>85%</t>
        </is>
      </c>
      <c r="S39" s="8" t="inlineStr">
        <is>
          <t>YES (Weight)</t>
        </is>
      </c>
    </row>
    <row r="40" ht="24" customHeight="1">
      <c r="A40" s="3" t="inlineStr">
        <is>
          <t>REQ-1029</t>
        </is>
      </c>
      <c r="B40" s="4" t="n">
        <v>1</v>
      </c>
      <c r="C40" s="5" t="inlineStr">
        <is>
          <t>SECURE Logistics &amp; Supply Chain Co., Ltd</t>
        </is>
      </c>
      <c r="D40" s="6" t="inlineStr">
        <is>
          <t>MMYGN ➔ INMUN</t>
        </is>
      </c>
      <c r="E40" s="6" t="inlineStr">
        <is>
          <t>SEP 01, 2026 – SEP 14, 2026</t>
        </is>
      </c>
      <c r="F40" s="6" t="inlineStr">
        <is>
          <t>40'HQ</t>
        </is>
      </c>
      <c r="G40" s="7" t="inlineStr">
        <is>
          <t>—</t>
        </is>
      </c>
      <c r="H40" s="5" t="inlineStr">
        <is>
          <t>Jacket</t>
        </is>
      </c>
      <c r="I40" s="6" t="n">
        <v>2</v>
      </c>
      <c r="J40" s="6" t="inlineStr">
        <is>
          <t>—</t>
        </is>
      </c>
      <c r="K40" s="6" t="inlineStr">
        <is>
          <t>—</t>
        </is>
      </c>
      <c r="L40" s="6" t="inlineStr">
        <is>
          <t>$480</t>
        </is>
      </c>
      <c r="M40" s="6" t="inlineStr">
        <is>
          <t>—</t>
        </is>
      </c>
      <c r="N40" s="6" t="inlineStr">
        <is>
          <t>—</t>
        </is>
      </c>
      <c r="O40" s="6" t="inlineStr">
        <is>
          <t>Origin: 7d
Destination: 7d</t>
        </is>
      </c>
      <c r="P40" s="5" t="inlineStr">
        <is>
          <t>—</t>
        </is>
      </c>
      <c r="Q40" s="6" t="inlineStr">
        <is>
          <t>New</t>
        </is>
      </c>
      <c r="R40" s="6" t="inlineStr">
        <is>
          <t>85%</t>
        </is>
      </c>
      <c r="S40" s="8" t="inlineStr">
        <is>
          <t>YES (Weight)</t>
        </is>
      </c>
    </row>
    <row r="41" ht="24" customHeight="1">
      <c r="A41" s="3" t="inlineStr">
        <is>
          <t>REQ-1030</t>
        </is>
      </c>
      <c r="B41" s="4" t="n">
        <v>1</v>
      </c>
      <c r="C41" s="5" t="inlineStr">
        <is>
          <t>Agrosamex</t>
        </is>
      </c>
      <c r="D41" s="6" t="inlineStr">
        <is>
          <t>CNSHA ➔ UNKNOWN</t>
        </is>
      </c>
      <c r="E41" s="6" t="inlineStr">
        <is>
          <t>—</t>
        </is>
      </c>
      <c r="F41" s="6" t="inlineStr">
        <is>
          <t>20'GP</t>
        </is>
      </c>
      <c r="G41" s="7" t="inlineStr">
        <is>
          <t>—</t>
        </is>
      </c>
      <c r="H41" s="5" t="inlineStr">
        <is>
          <t>Cacao en grano</t>
        </is>
      </c>
      <c r="I41" s="6" t="n">
        <v>1</v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5" t="inlineStr">
        <is>
          <t>—</t>
        </is>
      </c>
      <c r="Q41" s="6" t="inlineStr">
        <is>
          <t>New</t>
        </is>
      </c>
      <c r="R41" s="6" t="inlineStr">
        <is>
          <t>70%</t>
        </is>
      </c>
      <c r="S41" s="8" t="inlineStr">
        <is>
          <t>YES (POD, Weight)</t>
        </is>
      </c>
    </row>
    <row r="42" ht="24" customHeight="1">
      <c r="A42" s="3" t="inlineStr">
        <is>
          <t>REQ-1031</t>
        </is>
      </c>
      <c r="B42" s="4" t="n">
        <v>1</v>
      </c>
      <c r="C42" s="5" t="inlineStr">
        <is>
          <t>ILLcargo</t>
        </is>
      </c>
      <c r="D42" s="6" t="inlineStr">
        <is>
          <t>MXZLO ➔ CLSAI</t>
        </is>
      </c>
      <c r="E42" s="6" t="inlineStr">
        <is>
          <t>—</t>
        </is>
      </c>
      <c r="F42" s="6" t="inlineStr">
        <is>
          <t>20'GP</t>
        </is>
      </c>
      <c r="G42" s="7" t="inlineStr">
        <is>
          <t>10</t>
        </is>
      </c>
      <c r="H42" s="5" t="inlineStr">
        <is>
          <t>General Cargo</t>
        </is>
      </c>
      <c r="I42" s="6" t="n">
        <v>1</v>
      </c>
      <c r="J42" s="6" t="inlineStr">
        <is>
          <t>—</t>
        </is>
      </c>
      <c r="K42" s="6" t="inlineStr">
        <is>
          <t>—</t>
        </is>
      </c>
      <c r="L42" s="6" t="inlineStr">
        <is>
          <t>—</t>
        </is>
      </c>
      <c r="M42" s="6" t="inlineStr">
        <is>
          <t>—</t>
        </is>
      </c>
      <c r="N42" s="6" t="inlineStr">
        <is>
          <t>Food Grade</t>
        </is>
      </c>
      <c r="O42" s="6" t="inlineStr">
        <is>
          <t>Origin:
Destination:</t>
        </is>
      </c>
      <c r="P42" s="5" t="inlineStr">
        <is>
          <t>—</t>
        </is>
      </c>
      <c r="Q42" s="6" t="inlineStr">
        <is>
          <t>New</t>
        </is>
      </c>
      <c r="R42" s="6" t="inlineStr">
        <is>
          <t>100%</t>
        </is>
      </c>
      <c r="S42" s="5" t="inlineStr">
        <is>
          <t>NO</t>
        </is>
      </c>
    </row>
    <row r="43" ht="24" customHeight="1">
      <c r="A43" s="3" t="inlineStr">
        <is>
          <t>REQ-1032</t>
        </is>
      </c>
      <c r="B43" s="4" t="n">
        <v>1</v>
      </c>
      <c r="C43" s="5" t="inlineStr">
        <is>
          <t>AndesbyApex</t>
        </is>
      </c>
      <c r="D43" s="6" t="inlineStr">
        <is>
          <t>CLSAN ➔ ZADUR</t>
        </is>
      </c>
      <c r="E43" s="6" t="inlineStr">
        <is>
          <t>SEP 30, 2026 – SEP 30, 2026</t>
        </is>
      </c>
      <c r="F43" s="6" t="inlineStr">
        <is>
          <t>40'RF</t>
        </is>
      </c>
      <c r="G43" s="7" t="inlineStr">
        <is>
          <t>—</t>
        </is>
      </c>
      <c r="H43" s="5" t="inlineStr">
        <is>
          <t>Frozen Pulp</t>
        </is>
      </c>
      <c r="I43" s="6" t="n">
        <v>1</v>
      </c>
      <c r="J43" s="6" t="inlineStr">
        <is>
          <t>—</t>
        </is>
      </c>
      <c r="K43" s="6" t="inlineStr">
        <is>
          <t>—</t>
        </is>
      </c>
      <c r="L43" s="6" t="inlineStr">
        <is>
          <t>$4600</t>
        </is>
      </c>
      <c r="M43" s="6" t="inlineStr">
        <is>
          <t>—</t>
        </is>
      </c>
      <c r="N43" s="6" t="inlineStr">
        <is>
          <t>Customs Clearance</t>
        </is>
      </c>
      <c r="O43" s="6" t="inlineStr">
        <is>
          <t>Origin:
Destination:</t>
        </is>
      </c>
      <c r="P43" s="5" t="inlineStr">
        <is>
          <t>—</t>
        </is>
      </c>
      <c r="Q43" s="6" t="inlineStr">
        <is>
          <t>New</t>
        </is>
      </c>
      <c r="R43" s="6" t="inlineStr">
        <is>
          <t>85%</t>
        </is>
      </c>
      <c r="S43" s="8" t="inlineStr">
        <is>
          <t>YES (Weight)</t>
        </is>
      </c>
    </row>
    <row r="44" ht="24" customHeight="1">
      <c r="A44" s="3" t="inlineStr">
        <is>
          <t>REQ-1033</t>
        </is>
      </c>
      <c r="B44" s="4" t="n">
        <v>1</v>
      </c>
      <c r="C44" s="5" t="inlineStr">
        <is>
          <t>Suzano S.A.</t>
        </is>
      </c>
      <c r="D44" s="6" t="inlineStr">
        <is>
          <t>BRSSZ ➔ COTUR</t>
        </is>
      </c>
      <c r="E44" s="6" t="inlineStr">
        <is>
          <t>—</t>
        </is>
      </c>
      <c r="F44" s="6" t="inlineStr">
        <is>
          <t>40'GP</t>
        </is>
      </c>
      <c r="G44" s="7" t="inlineStr">
        <is>
          <t>—</t>
        </is>
      </c>
      <c r="H44" s="5" t="inlineStr">
        <is>
          <t>Fluff</t>
        </is>
      </c>
      <c r="I44" s="6" t="n">
        <v>2</v>
      </c>
      <c r="J44" s="6" t="inlineStr">
        <is>
          <t>—</t>
        </is>
      </c>
      <c r="K44" s="6" t="inlineStr">
        <is>
          <t>—</t>
        </is>
      </c>
      <c r="L44" s="6" t="inlineStr">
        <is>
          <t>—</t>
        </is>
      </c>
      <c r="M44" s="6" t="inlineStr">
        <is>
          <t>—</t>
        </is>
      </c>
      <c r="N44" s="6" t="inlineStr">
        <is>
          <t>—</t>
        </is>
      </c>
      <c r="O44" s="6" t="inlineStr">
        <is>
          <t>Origin: 30d
Destination:</t>
        </is>
      </c>
      <c r="P44" s="5" t="inlineStr">
        <is>
          <t>—</t>
        </is>
      </c>
      <c r="Q44" s="6" t="inlineStr">
        <is>
          <t>New</t>
        </is>
      </c>
      <c r="R44" s="6" t="inlineStr">
        <is>
          <t>85%</t>
        </is>
      </c>
      <c r="S44" s="8" t="inlineStr">
        <is>
          <t>YES (Weight)</t>
        </is>
      </c>
    </row>
    <row r="45" ht="24" customHeight="1">
      <c r="A45" s="3" t="inlineStr">
        <is>
          <t>REQ-1034</t>
        </is>
      </c>
      <c r="B45" s="4" t="n">
        <v>1</v>
      </c>
      <c r="C45" s="5" t="inlineStr">
        <is>
          <t>Unilog</t>
        </is>
      </c>
      <c r="D45" s="6" t="inlineStr">
        <is>
          <t>UNKNOWN ➔ SGSIN</t>
        </is>
      </c>
      <c r="E45" s="6" t="inlineStr">
        <is>
          <t>—</t>
        </is>
      </c>
      <c r="F45" s="6" t="inlineStr">
        <is>
          <t>40'RF</t>
        </is>
      </c>
      <c r="G45" s="7" t="inlineStr">
        <is>
          <t>18</t>
        </is>
      </c>
      <c r="H45" s="5" t="inlineStr">
        <is>
          <t>Manteca</t>
        </is>
      </c>
      <c r="I45" s="6" t="n">
        <v>1</v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5" t="inlineStr">
        <is>
          <t>—</t>
        </is>
      </c>
      <c r="Q45" s="6" t="inlineStr">
        <is>
          <t>New</t>
        </is>
      </c>
      <c r="R45" s="6" t="inlineStr">
        <is>
          <t>85%</t>
        </is>
      </c>
      <c r="S45" s="8" t="inlineStr">
        <is>
          <t>YES (POL)</t>
        </is>
      </c>
    </row>
    <row r="46" ht="24" customHeight="1">
      <c r="A46" s="3" t="inlineStr">
        <is>
          <t>REQ-1035</t>
        </is>
      </c>
      <c r="B46" s="4" t="n">
        <v>1</v>
      </c>
      <c r="C46" s="5" t="inlineStr">
        <is>
          <t>ZL LOG</t>
        </is>
      </c>
      <c r="D46" s="6" t="inlineStr">
        <is>
          <t>BRRIO ➔ CNQIN</t>
        </is>
      </c>
      <c r="E46" s="6" t="inlineStr">
        <is>
          <t>—</t>
        </is>
      </c>
      <c r="F46" s="6" t="inlineStr">
        <is>
          <t>40'RF</t>
        </is>
      </c>
      <c r="G46" s="7" t="inlineStr">
        <is>
          <t>27</t>
        </is>
      </c>
      <c r="H46" s="5" t="inlineStr">
        <is>
          <t>Fresh Garlic and Black Garlic</t>
        </is>
      </c>
      <c r="I46" s="6" t="n">
        <v>1</v>
      </c>
      <c r="J46" s="6" t="inlineStr">
        <is>
          <t>—</t>
        </is>
      </c>
      <c r="K46" s="6" t="inlineStr">
        <is>
          <t>—</t>
        </is>
      </c>
      <c r="L46" s="6" t="inlineStr">
        <is>
          <t>$30242</t>
        </is>
      </c>
      <c r="M46" s="6" t="inlineStr">
        <is>
          <t>—</t>
        </is>
      </c>
      <c r="N46" s="6" t="inlineStr">
        <is>
          <t>—</t>
        </is>
      </c>
      <c r="O46" s="6" t="inlineStr">
        <is>
          <t>Origin:
Destination:</t>
        </is>
      </c>
      <c r="P46" s="5" t="inlineStr">
        <is>
          <t>—</t>
        </is>
      </c>
      <c r="Q46" s="6" t="inlineStr">
        <is>
          <t>New</t>
        </is>
      </c>
      <c r="R46" s="6" t="inlineStr">
        <is>
          <t>100%</t>
        </is>
      </c>
      <c r="S46" s="5" t="inlineStr">
        <is>
          <t>NO</t>
        </is>
      </c>
    </row>
    <row r="47" ht="24" customHeight="1">
      <c r="A47" s="3" t="inlineStr">
        <is>
          <t>REQ-1036</t>
        </is>
      </c>
      <c r="B47" s="4" t="n">
        <v>1</v>
      </c>
      <c r="C47" s="5" t="inlineStr">
        <is>
          <t>Smart Business Corporation S.A.C.</t>
        </is>
      </c>
      <c r="D47" s="6" t="inlineStr">
        <is>
          <t>PECALL ➔ KRPUS</t>
        </is>
      </c>
      <c r="E47" s="6" t="inlineStr">
        <is>
          <t>—</t>
        </is>
      </c>
      <c r="F47" s="6" t="inlineStr">
        <is>
          <t>20'GP</t>
        </is>
      </c>
      <c r="G47" s="7" t="inlineStr">
        <is>
          <t>25</t>
        </is>
      </c>
      <c r="H47" s="5" t="inlineStr">
        <is>
          <t>Tin Ingot</t>
        </is>
      </c>
      <c r="I47" s="6" t="n">
        <v>1</v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5" t="inlineStr">
        <is>
          <t>—</t>
        </is>
      </c>
      <c r="Q47" s="6" t="inlineStr">
        <is>
          <t>New</t>
        </is>
      </c>
      <c r="R47" s="6" t="inlineStr">
        <is>
          <t>100%</t>
        </is>
      </c>
      <c r="S47" s="5" t="inlineStr">
        <is>
          <t>NO</t>
        </is>
      </c>
    </row>
    <row r="48" ht="24" customHeight="1">
      <c r="A48" s="3" t="inlineStr">
        <is>
          <t>REQ-1037</t>
        </is>
      </c>
      <c r="B48" s="4" t="n">
        <v>1</v>
      </c>
      <c r="C48" s="5" t="inlineStr">
        <is>
          <t>Smart Business Corporation S.A.C.</t>
        </is>
      </c>
      <c r="D48" s="6" t="inlineStr">
        <is>
          <t>PECALL ➔ CNSHA</t>
        </is>
      </c>
      <c r="E48" s="6" t="inlineStr">
        <is>
          <t>—</t>
        </is>
      </c>
      <c r="F48" s="6" t="inlineStr">
        <is>
          <t>20'GP</t>
        </is>
      </c>
      <c r="G48" s="7" t="inlineStr">
        <is>
          <t>25</t>
        </is>
      </c>
      <c r="H48" s="5" t="inlineStr">
        <is>
          <t>Tin Ingot</t>
        </is>
      </c>
      <c r="I48" s="6" t="n">
        <v>1</v>
      </c>
      <c r="J48" s="6" t="inlineStr">
        <is>
          <t>—</t>
        </is>
      </c>
      <c r="K48" s="6" t="inlineStr">
        <is>
          <t>—</t>
        </is>
      </c>
      <c r="L48" s="6" t="inlineStr">
        <is>
          <t>—</t>
        </is>
      </c>
      <c r="M48" s="6" t="inlineStr">
        <is>
          <t>—</t>
        </is>
      </c>
      <c r="N48" s="6" t="inlineStr">
        <is>
          <t>—</t>
        </is>
      </c>
      <c r="O48" s="6" t="inlineStr">
        <is>
          <t>—</t>
        </is>
      </c>
      <c r="P48" s="5" t="inlineStr">
        <is>
          <t>—</t>
        </is>
      </c>
      <c r="Q48" s="6" t="inlineStr">
        <is>
          <t>New</t>
        </is>
      </c>
      <c r="R48" s="6" t="inlineStr">
        <is>
          <t>100%</t>
        </is>
      </c>
      <c r="S48" s="5" t="inlineStr">
        <is>
          <t>NO</t>
        </is>
      </c>
    </row>
    <row r="49" ht="24" customHeight="1">
      <c r="A49" s="3" t="inlineStr">
        <is>
          <t>REQ-1038</t>
        </is>
      </c>
      <c r="B49" s="4" t="n">
        <v>1</v>
      </c>
      <c r="C49" s="5" t="inlineStr">
        <is>
          <t>Smart Business Corporation S.A.C.</t>
        </is>
      </c>
      <c r="D49" s="6" t="inlineStr">
        <is>
          <t>PECALL ➔ INNVS</t>
        </is>
      </c>
      <c r="E49" s="6" t="inlineStr">
        <is>
          <t>—</t>
        </is>
      </c>
      <c r="F49" s="6" t="inlineStr">
        <is>
          <t>20'GP</t>
        </is>
      </c>
      <c r="G49" s="7" t="inlineStr">
        <is>
          <t>25</t>
        </is>
      </c>
      <c r="H49" s="5" t="inlineStr">
        <is>
          <t>Tin Ingot</t>
        </is>
      </c>
      <c r="I49" s="6" t="n">
        <v>1</v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5" t="inlineStr">
        <is>
          <t>—</t>
        </is>
      </c>
      <c r="Q49" s="6" t="inlineStr">
        <is>
          <t>New</t>
        </is>
      </c>
      <c r="R49" s="6" t="inlineStr">
        <is>
          <t>100%</t>
        </is>
      </c>
      <c r="S49" s="5" t="inlineStr">
        <is>
          <t>NO</t>
        </is>
      </c>
    </row>
    <row r="50" ht="24" customHeight="1">
      <c r="A50" s="3" t="inlineStr">
        <is>
          <t>REQ-1039</t>
        </is>
      </c>
      <c r="B50" s="4" t="n">
        <v>1</v>
      </c>
      <c r="C50" s="5" t="inlineStr">
        <is>
          <t>ANICAM CARGO PERU SAC</t>
        </is>
      </c>
      <c r="D50" s="6" t="inlineStr">
        <is>
          <t>PECALL ➔ UNKNOWN</t>
        </is>
      </c>
      <c r="E50" s="6" t="inlineStr">
        <is>
          <t>—</t>
        </is>
      </c>
      <c r="F50" s="6" t="inlineStr">
        <is>
          <t>—</t>
        </is>
      </c>
      <c r="G50" s="7" t="inlineStr">
        <is>
          <t>—</t>
        </is>
      </c>
      <c r="H50" s="5" t="inlineStr">
        <is>
          <t>Fresh Avocados</t>
        </is>
      </c>
      <c r="I50" s="6" t="n">
        <v>1</v>
      </c>
      <c r="J50" s="6" t="inlineStr">
        <is>
          <t>—</t>
        </is>
      </c>
      <c r="K50" s="6" t="inlineStr">
        <is>
          <t>—</t>
        </is>
      </c>
      <c r="L50" s="6" t="inlineStr">
        <is>
          <t>—</t>
        </is>
      </c>
      <c r="M50" s="6" t="inlineStr">
        <is>
          <t>—</t>
        </is>
      </c>
      <c r="N50" s="6" t="inlineStr">
        <is>
          <t>—</t>
        </is>
      </c>
      <c r="O50" s="6" t="inlineStr">
        <is>
          <t>—</t>
        </is>
      </c>
      <c r="P50" s="5" t="inlineStr">
        <is>
          <t>—</t>
        </is>
      </c>
      <c r="Q50" s="6" t="inlineStr">
        <is>
          <t>New</t>
        </is>
      </c>
      <c r="R50" s="6" t="inlineStr">
        <is>
          <t>55%</t>
        </is>
      </c>
      <c r="S50" s="8" t="inlineStr">
        <is>
          <t>YES (POD, Container Type, Weight)</t>
        </is>
      </c>
    </row>
    <row r="51" ht="24" customHeight="1">
      <c r="A51" s="3" t="inlineStr">
        <is>
          <t>REQ-1040</t>
        </is>
      </c>
      <c r="B51" s="4" t="n">
        <v>1</v>
      </c>
      <c r="C51" s="5" t="inlineStr">
        <is>
          <t>Sal Shipping Sdn Bhd</t>
        </is>
      </c>
      <c r="D51" s="6" t="inlineStr">
        <is>
          <t>MYPKL ➔ KHSIH</t>
        </is>
      </c>
      <c r="E51" s="6" t="inlineStr">
        <is>
          <t>—</t>
        </is>
      </c>
      <c r="F51" s="6" t="inlineStr">
        <is>
          <t>20'GP</t>
        </is>
      </c>
      <c r="G51" s="7" t="inlineStr">
        <is>
          <t>0.5</t>
        </is>
      </c>
      <c r="H51" s="5" t="inlineStr">
        <is>
          <t>Granular Urea 46% N</t>
        </is>
      </c>
      <c r="I51" s="6" t="n">
        <v>25</v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Origin:
Destination:</t>
        </is>
      </c>
      <c r="P51" s="5" t="inlineStr">
        <is>
          <t>—</t>
        </is>
      </c>
      <c r="Q51" s="6" t="inlineStr">
        <is>
          <t>New</t>
        </is>
      </c>
      <c r="R51" s="6" t="inlineStr">
        <is>
          <t>100%</t>
        </is>
      </c>
      <c r="S51" s="5" t="inlineStr">
        <is>
          <t>NO</t>
        </is>
      </c>
    </row>
    <row r="52" ht="24" customHeight="1">
      <c r="A52" s="3" t="inlineStr">
        <is>
          <t>REQ-1041</t>
        </is>
      </c>
      <c r="B52" s="4" t="n">
        <v>1</v>
      </c>
      <c r="C52" s="5" t="inlineStr">
        <is>
          <t>Sal Shipping Sdn Bhd</t>
        </is>
      </c>
      <c r="D52" s="6" t="inlineStr">
        <is>
          <t>MYPKL ➔ LAVTE</t>
        </is>
      </c>
      <c r="E52" s="6" t="inlineStr">
        <is>
          <t>—</t>
        </is>
      </c>
      <c r="F52" s="6" t="inlineStr">
        <is>
          <t>20'GP</t>
        </is>
      </c>
      <c r="G52" s="7" t="inlineStr">
        <is>
          <t>0.5</t>
        </is>
      </c>
      <c r="H52" s="5" t="inlineStr">
        <is>
          <t>Granular Urea 46% N</t>
        </is>
      </c>
      <c r="I52" s="6" t="n">
        <v>25</v>
      </c>
      <c r="J52" s="6" t="inlineStr">
        <is>
          <t>—</t>
        </is>
      </c>
      <c r="K52" s="6" t="inlineStr">
        <is>
          <t>—</t>
        </is>
      </c>
      <c r="L52" s="6" t="inlineStr">
        <is>
          <t>—</t>
        </is>
      </c>
      <c r="M52" s="6" t="inlineStr">
        <is>
          <t>—</t>
        </is>
      </c>
      <c r="N52" s="6" t="inlineStr">
        <is>
          <t>—</t>
        </is>
      </c>
      <c r="O52" s="6" t="inlineStr">
        <is>
          <t>Origin:
Destination:</t>
        </is>
      </c>
      <c r="P52" s="5" t="inlineStr">
        <is>
          <t>—</t>
        </is>
      </c>
      <c r="Q52" s="6" t="inlineStr">
        <is>
          <t>New</t>
        </is>
      </c>
      <c r="R52" s="6" t="inlineStr">
        <is>
          <t>100%</t>
        </is>
      </c>
      <c r="S52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5" customWidth="1" min="2" max="2"/>
    <col width="25" customWidth="1" min="3" max="3"/>
    <col width="35" customWidth="1" min="4" max="4"/>
    <col width="25" customWidth="1" min="5" max="5"/>
    <col width="22" customWidth="1" min="6" max="6"/>
    <col width="30" customWidth="1" min="7" max="7"/>
  </cols>
  <sheetData>
    <row r="1" ht="28" customHeight="1">
      <c r="A1" s="2" t="inlineStr">
        <is>
          <t>RECEIVED DATE</t>
        </is>
      </c>
      <c r="B1" s="2" t="inlineStr">
        <is>
          <t>FILE / THREAD ID</t>
        </is>
      </c>
      <c r="C1" s="2" t="inlineStr">
        <is>
          <t>SENDER</t>
        </is>
      </c>
      <c r="D1" s="2" t="inlineStr">
        <is>
          <t>SUBJECT</t>
        </is>
      </c>
      <c r="E1" s="2" t="inlineStr">
        <is>
          <t>COMMUNICATION TOPIC</t>
        </is>
      </c>
      <c r="F1" s="2" t="inlineStr">
        <is>
          <t>CLASSIFICATION VERDICT</t>
        </is>
      </c>
      <c r="G1" s="2" t="inlineStr">
        <is>
          <t>ACTION TAKEN</t>
        </is>
      </c>
    </row>
    <row r="2" ht="22" customHeight="1">
      <c r="A2" s="9" t="inlineStr">
        <is>
          <t>2026-03-19 13:23:14-05:00</t>
        </is>
      </c>
      <c r="B2" s="10" t="inlineStr">
        <is>
          <t>CALLAO - MELBOURNE __ KION DESHIDRATADO.eml</t>
        </is>
      </c>
      <c r="C2" s="10" t="inlineStr">
        <is>
          <t>&lt;julio@exodusbrokers.pe&gt;</t>
        </is>
      </c>
      <c r="D2" s="10" t="inlineStr">
        <is>
          <t>CALLAO - MELBOURNE // KION DESHIDRATADO</t>
        </is>
      </c>
      <c r="E2" s="9" t="inlineStr">
        <is>
          <t>New Rate Request</t>
        </is>
      </c>
      <c r="F2" s="11" t="inlineStr">
        <is>
          <t>RATE REQUEST</t>
        </is>
      </c>
      <c r="G2" s="9" t="inlineStr">
        <is>
          <t>Added to Dashboard (REQ-1001)</t>
        </is>
      </c>
    </row>
    <row r="3" ht="22" customHeight="1">
      <c r="A3" s="9" t="inlineStr">
        <is>
          <t>2026-06-05 17:23:31+00:00</t>
        </is>
      </c>
      <c r="B3" s="10" t="inlineStr">
        <is>
          <t>CALLAO_NINGBO.eml</t>
        </is>
      </c>
      <c r="C3" s="10" t="inlineStr">
        <is>
          <t>victoria bustamante &lt;vbustamante@loadexpresscargo.com.pe&gt;</t>
        </is>
      </c>
      <c r="D3" s="10" t="inlineStr">
        <is>
          <t>CALLAO/NINGBO</t>
        </is>
      </c>
      <c r="E3" s="9" t="inlineStr">
        <is>
          <t>New Rate Request</t>
        </is>
      </c>
      <c r="F3" s="11" t="inlineStr">
        <is>
          <t>RATE REQUEST</t>
        </is>
      </c>
      <c r="G3" s="9" t="inlineStr">
        <is>
          <t>Added to Dashboard (REQ-1002)</t>
        </is>
      </c>
    </row>
    <row r="4" ht="22" customHeight="1">
      <c r="A4" s="9" t="inlineStr">
        <is>
          <t>2026-09-01 03:08:16+00:00</t>
        </is>
      </c>
      <c r="B4" s="10" t="inlineStr">
        <is>
          <t>Enquiry Ex Port Klang to Acajutla, EL Salvador .eml</t>
        </is>
      </c>
      <c r="C4" s="10" t="inlineStr">
        <is>
          <t>"CNC Freight - Sharon " &lt;cs9@cncfrht.com&gt;</t>
        </is>
      </c>
      <c r="D4" s="10" t="inlineStr">
        <is>
          <t xml:space="preserve">Enquiry Ex Port Klang to Acajutla, EL Salvador </t>
        </is>
      </c>
      <c r="E4" s="9" t="inlineStr">
        <is>
          <t>New Rate Request</t>
        </is>
      </c>
      <c r="F4" s="11" t="inlineStr">
        <is>
          <t>RATE REQUEST</t>
        </is>
      </c>
      <c r="G4" s="9" t="inlineStr">
        <is>
          <t>Added to Dashboard (REQ-1003)</t>
        </is>
      </c>
    </row>
    <row r="5" ht="22" customHeight="1">
      <c r="A5" s="9" t="inlineStr">
        <is>
          <t>2026-08-31 15:35:28+05:30</t>
        </is>
      </c>
      <c r="B5" s="10" t="inlineStr">
        <is>
          <t>Fw_ (test)_ Ocean Freight Request 2X20’GP from wuhan to Berbera port.msg</t>
        </is>
      </c>
      <c r="C5" s="10" t="inlineStr">
        <is>
          <t>Jenny Hua &lt;jenny.hua@cn.pilship.com&gt;</t>
        </is>
      </c>
      <c r="D5" s="10" t="inlineStr">
        <is>
          <t>Fw: (test): Ocean Freight Request 2X20’GP from wuhan to Berbera port</t>
        </is>
      </c>
      <c r="E5" s="9" t="inlineStr">
        <is>
          <t>New Rate Request</t>
        </is>
      </c>
      <c r="F5" s="11" t="inlineStr">
        <is>
          <t>RATE REQUEST</t>
        </is>
      </c>
      <c r="G5" s="9" t="inlineStr">
        <is>
          <t>Added to Dashboard (REQ-1004)</t>
        </is>
      </c>
    </row>
    <row r="6" ht="22" customHeight="1">
      <c r="A6" s="9" t="inlineStr">
        <is>
          <t>2026-08-31 15:35:50+05:30</t>
        </is>
      </c>
      <c r="B6" s="10" t="inlineStr">
        <is>
          <t>Fw_ (test)_ WUHAN to  JEDDAH 12X40HQ 货好了，请问价格是.msg</t>
        </is>
      </c>
      <c r="C6" s="10" t="inlineStr">
        <is>
          <t>Jenny Hua &lt;jenny.hua@cn.pilship.com&gt;</t>
        </is>
      </c>
      <c r="D6" s="10" t="inlineStr">
        <is>
          <t>Fw: (test): WUHAN to  JEDDAH 12X40HQ 货好了，请问价格是</t>
        </is>
      </c>
      <c r="E6" s="9" t="inlineStr">
        <is>
          <t>New Rate Request</t>
        </is>
      </c>
      <c r="F6" s="11" t="inlineStr">
        <is>
          <t>RATE REQUEST</t>
        </is>
      </c>
      <c r="G6" s="9" t="inlineStr">
        <is>
          <t>Added to Dashboard (REQ-1005)</t>
        </is>
      </c>
    </row>
    <row r="7" ht="22" customHeight="1">
      <c r="A7" s="9" t="inlineStr">
        <is>
          <t>2026-08-31 09:29:13+00:00</t>
        </is>
      </c>
      <c r="B7" s="10" t="inlineStr">
        <is>
          <t>FW_ [PIL] BLU _ Spot Rate Inquiry _ Shantou x Guayaquil _ 5x40HQ _ S00288897.eml</t>
        </is>
      </c>
      <c r="C7" s="10" t="inlineStr">
        <is>
          <t>Kelvin Wong Ka Man &lt;kelvin.wong@hkg.pilship.com&gt;</t>
        </is>
      </c>
      <c r="D7" s="10" t="inlineStr">
        <is>
          <t>FW: [PIL] BLU / Spot Rate Inquiry / Shantou x Guayaquil / 5x40HQ /
 S00288897</t>
        </is>
      </c>
      <c r="E7" s="9" t="inlineStr">
        <is>
          <t>New Rate Request</t>
        </is>
      </c>
      <c r="F7" s="11" t="inlineStr">
        <is>
          <t>RATE REQUEST</t>
        </is>
      </c>
      <c r="G7" s="9" t="inlineStr">
        <is>
          <t>Added to Dashboard (REQ-1006)</t>
        </is>
      </c>
    </row>
    <row r="8" ht="22" customHeight="1">
      <c r="A8" s="9" t="inlineStr">
        <is>
          <t>2026-08-31 14:41:44+05:30</t>
        </is>
      </c>
      <c r="B8" s="10" t="inlineStr">
        <is>
          <t>Fw_ ETD_ 9_8_26 XINGANG-DURBAN 1X20'OH IN GAUGE 物流询盘.msg</t>
        </is>
      </c>
      <c r="C8" s="10" t="inlineStr">
        <is>
          <t>Jenny Hua &lt;jenny.hua@cn.pilship.com&gt;</t>
        </is>
      </c>
      <c r="D8" s="10" t="inlineStr">
        <is>
          <t>Fw: ETD: 9/8/26 XINGANG-DURBAN 1X20'OH IN GAUGE 物流询盘</t>
        </is>
      </c>
      <c r="E8" s="9" t="inlineStr">
        <is>
          <t>New Rate Request</t>
        </is>
      </c>
      <c r="F8" s="11" t="inlineStr">
        <is>
          <t>RATE REQUEST</t>
        </is>
      </c>
      <c r="G8" s="9" t="inlineStr">
        <is>
          <t>Added to Dashboard (REQ-1007)</t>
        </is>
      </c>
    </row>
    <row r="9" ht="22" customHeight="1">
      <c r="A9" s="9" t="inlineStr">
        <is>
          <t>2026-09-01 06:53:31+05:30</t>
        </is>
      </c>
      <c r="B9" s="10" t="inlineStr">
        <is>
          <t>Fw_ RATE REQUEST POL QINGDAO _ POD LAGOS.msg</t>
        </is>
      </c>
      <c r="C9" s="10" t="inlineStr">
        <is>
          <t>Jenny Hua &lt;jenny.hua@cn.pilship.com&gt;</t>
        </is>
      </c>
      <c r="D9" s="10" t="inlineStr">
        <is>
          <t>Fw: RATE REQUEST POL QINGDAO / POD LAGOS</t>
        </is>
      </c>
      <c r="E9" s="9" t="inlineStr">
        <is>
          <t>New Rate Request</t>
        </is>
      </c>
      <c r="F9" s="11" t="inlineStr">
        <is>
          <t>RATE REQUEST</t>
        </is>
      </c>
      <c r="G9" s="9" t="inlineStr">
        <is>
          <t>Added to Dashboard (REQ-1008)</t>
        </is>
      </c>
    </row>
    <row r="10" ht="22" customHeight="1">
      <c r="A10" s="9" t="inlineStr">
        <is>
          <t>2026-09-01 06:53:38+05:30</t>
        </is>
      </c>
      <c r="B10" s="10" t="inlineStr">
        <is>
          <t>Fw_ REQ RATES FOR POL- QINGDAO __ POD- MUNDRA__ 05X20.msg</t>
        </is>
      </c>
      <c r="C10" s="10" t="inlineStr">
        <is>
          <t>Jenny Hua &lt;jenny.hua@cn.pilship.com&gt;</t>
        </is>
      </c>
      <c r="D10" s="10" t="inlineStr">
        <is>
          <t>Fw: REQ RATES FOR POL- QINGDAO || POD- MUNDRA|| 05X20</t>
        </is>
      </c>
      <c r="E10" s="9" t="inlineStr">
        <is>
          <t>New Rate Request</t>
        </is>
      </c>
      <c r="F10" s="11" t="inlineStr">
        <is>
          <t>RATE REQUEST</t>
        </is>
      </c>
      <c r="G10" s="9" t="inlineStr">
        <is>
          <t>Added to Dashboard (REQ-1009)</t>
        </is>
      </c>
    </row>
    <row r="11" ht="22" customHeight="1">
      <c r="A11" s="9" t="inlineStr">
        <is>
          <t>2026-09-01 06:51:13+05:30</t>
        </is>
      </c>
      <c r="B11" s="10" t="inlineStr">
        <is>
          <t>Fw_ SOC RATES _ CNTAO TO ONWARDS _ PIL .msg</t>
        </is>
      </c>
      <c r="C11" s="10" t="inlineStr">
        <is>
          <t>Jenny Hua &lt;jenny.hua@cn.pilship.com&gt;</t>
        </is>
      </c>
      <c r="D11" s="10" t="inlineStr">
        <is>
          <t xml:space="preserve">Fw: SOC RATES / CNTAO TO ONWARDS / PIL </t>
        </is>
      </c>
      <c r="E11" s="9" t="inlineStr">
        <is>
          <t>New Rate Request</t>
        </is>
      </c>
      <c r="F11" s="11" t="inlineStr">
        <is>
          <t>RATE REQUEST</t>
        </is>
      </c>
      <c r="G11" s="9" t="inlineStr">
        <is>
          <t>Added to Dashboard (REQ-1010, REQ-1011, REQ-1012, REQ-1013, REQ-1014)</t>
        </is>
      </c>
    </row>
    <row r="12" ht="22" customHeight="1">
      <c r="A12" s="9" t="inlineStr">
        <is>
          <t>2026-08-31 15:38:59+05:30</t>
        </is>
      </c>
      <c r="B12" s="10" t="inlineStr">
        <is>
          <t>Fw_ 全力 询 XIAMEN-ABIDJAN   100_40HQ  询价.msg</t>
        </is>
      </c>
      <c r="C12" s="10" t="inlineStr">
        <is>
          <t>Jenny Hua &lt;jenny.hua@cn.pilship.com&gt;</t>
        </is>
      </c>
      <c r="D12" s="10" t="inlineStr">
        <is>
          <t>Fw: 全力 询 XIAMEN-ABIDJAN   100*40HQ  询价</t>
        </is>
      </c>
      <c r="E12" s="9" t="inlineStr">
        <is>
          <t>New Rate Request</t>
        </is>
      </c>
      <c r="F12" s="11" t="inlineStr">
        <is>
          <t>RATE REQUEST</t>
        </is>
      </c>
      <c r="G12" s="9" t="inlineStr">
        <is>
          <t>Added to Dashboard (REQ-1015)</t>
        </is>
      </c>
    </row>
    <row r="13" ht="22" customHeight="1">
      <c r="A13" s="9" t="inlineStr">
        <is>
          <t>2026-08-31 15:36:57+05:30</t>
        </is>
      </c>
      <c r="B13" s="10" t="inlineStr">
        <is>
          <t>Fw_ 冻柜询价   SHANTOU--CAPE TOWN.msg</t>
        </is>
      </c>
      <c r="C13" s="10" t="inlineStr">
        <is>
          <t>Jenny Hua &lt;jenny.hua@cn.pilship.com&gt;</t>
        </is>
      </c>
      <c r="D13" s="10" t="inlineStr">
        <is>
          <t>Fw: 冻柜询价   SHANTOU--CAPE TOWN</t>
        </is>
      </c>
      <c r="E13" s="9" t="inlineStr">
        <is>
          <t>New Rate Request</t>
        </is>
      </c>
      <c r="F13" s="11" t="inlineStr">
        <is>
          <t>RATE REQUEST</t>
        </is>
      </c>
      <c r="G13" s="9" t="inlineStr">
        <is>
          <t>Added to Dashboard (REQ-1016)</t>
        </is>
      </c>
    </row>
    <row r="14" ht="22" customHeight="1">
      <c r="A14" s="9" t="inlineStr">
        <is>
          <t>2026-08-31 14:41:02+05:30</t>
        </is>
      </c>
      <c r="B14" s="10" t="inlineStr">
        <is>
          <t>Fw_ 回复：3_40HC 天津-梅尔辛海运询价.msg</t>
        </is>
      </c>
      <c r="C14" s="10" t="inlineStr">
        <is>
          <t>Jenny Hua &lt;jenny.hua@cn.pilship.com&gt;</t>
        </is>
      </c>
      <c r="D14" s="10" t="inlineStr">
        <is>
          <t>Fw: 回复：3*40HC 天津-梅尔辛海运询价</t>
        </is>
      </c>
      <c r="E14" s="9" t="inlineStr">
        <is>
          <t>New Rate Request</t>
        </is>
      </c>
      <c r="F14" s="11" t="inlineStr">
        <is>
          <t>RATE REQUEST</t>
        </is>
      </c>
      <c r="G14" s="9" t="inlineStr">
        <is>
          <t>Added to Dashboard (REQ-1017)</t>
        </is>
      </c>
    </row>
    <row r="15" ht="22" customHeight="1">
      <c r="A15" s="9" t="inlineStr">
        <is>
          <t>2026-08-31 14:39:39+05:30</t>
        </is>
      </c>
      <c r="B15" s="10" t="inlineStr">
        <is>
          <t>Fw_ 墨西哥Manzanillo  运费询价.msg</t>
        </is>
      </c>
      <c r="C15" s="10" t="inlineStr">
        <is>
          <t>Jenny Hua &lt;jenny.hua@cn.pilship.com&gt;</t>
        </is>
      </c>
      <c r="D15" s="10" t="inlineStr">
        <is>
          <t>Fw: 墨西哥Manzanillo  运费询价</t>
        </is>
      </c>
      <c r="E15" s="9" t="inlineStr">
        <is>
          <t>New Rate Request</t>
        </is>
      </c>
      <c r="F15" s="11" t="inlineStr">
        <is>
          <t>RATE REQUEST</t>
        </is>
      </c>
      <c r="G15" s="9" t="inlineStr">
        <is>
          <t>Added to Dashboard (REQ-1018)</t>
        </is>
      </c>
    </row>
    <row r="16" ht="22" customHeight="1">
      <c r="A16" s="9" t="inlineStr">
        <is>
          <t>2026-09-01 06:48:49+05:30</t>
        </is>
      </c>
      <c r="B16" s="10" t="inlineStr">
        <is>
          <t>Fw_ 询价邮件案例_ [SPAM] 海运询价：佛山→叙利亚拉塔基亚 2×40HQ + 1×40FR（超尺寸）印刷设备 2026年9月.msg</t>
        </is>
      </c>
      <c r="C16" s="10" t="inlineStr">
        <is>
          <t>Jenny Hua &lt;jenny.hua@cn.pilship.com&gt;</t>
        </is>
      </c>
      <c r="D16" s="10" t="inlineStr">
        <is>
          <t>Fw: 询价邮件案例: [SPAM] 海运询价：佛山→叙利亚拉塔基亚 2×40HQ + 1×40FR（超尺寸）印刷设备 2026年9月</t>
        </is>
      </c>
      <c r="E16" s="9" t="inlineStr">
        <is>
          <t>New Rate Request</t>
        </is>
      </c>
      <c r="F16" s="11" t="inlineStr">
        <is>
          <t>RATE REQUEST</t>
        </is>
      </c>
      <c r="G16" s="9" t="inlineStr">
        <is>
          <t>Added to Dashboard (REQ-1019)</t>
        </is>
      </c>
    </row>
    <row r="17" ht="22" customHeight="1">
      <c r="A17" s="9" t="inlineStr">
        <is>
          <t>2026-09-01 06:48:32+05:30</t>
        </is>
      </c>
      <c r="B17" s="10" t="inlineStr">
        <is>
          <t>Fw_ 询价邮件案例_ ___PABV___ KOTA SATRIA_0096W - Shanghai to Sokhna.msg</t>
        </is>
      </c>
      <c r="C17" s="10" t="inlineStr">
        <is>
          <t>Jenny Hua &lt;jenny.hua@cn.pilship.com&gt;</t>
        </is>
      </c>
      <c r="D17" s="10" t="inlineStr">
        <is>
          <t>Fw: 询价邮件案例: ***PABV*** KOTA SATRIA/0096W - Shanghai to Sokhna</t>
        </is>
      </c>
      <c r="E17" s="9" t="inlineStr">
        <is>
          <t>New Rate Request</t>
        </is>
      </c>
      <c r="F17" s="11" t="inlineStr">
        <is>
          <t>RATE REQUEST</t>
        </is>
      </c>
      <c r="G17" s="9" t="inlineStr">
        <is>
          <t>Added to Dashboard (REQ-1020)</t>
        </is>
      </c>
    </row>
    <row r="18" ht="22" customHeight="1">
      <c r="A18" s="9" t="inlineStr">
        <is>
          <t>2026-09-01 06:49:47+05:30</t>
        </is>
      </c>
      <c r="B18" s="10" t="inlineStr">
        <is>
          <t>Fw_ 询价邮件案例_ 询价 上海港---亚丁，也门    3X40'HQ.msg</t>
        </is>
      </c>
      <c r="C18" s="10" t="inlineStr">
        <is>
          <t>Jenny Hua &lt;jenny.hua@cn.pilship.com&gt;</t>
        </is>
      </c>
      <c r="D18" s="10" t="inlineStr">
        <is>
          <t>Fw: 询价邮件案例: 询价 上海港---亚丁，也门    3X40'HQ</t>
        </is>
      </c>
      <c r="E18" s="9" t="inlineStr">
        <is>
          <t>New Rate Request</t>
        </is>
      </c>
      <c r="F18" s="11" t="inlineStr">
        <is>
          <t>RATE REQUEST</t>
        </is>
      </c>
      <c r="G18" s="9" t="inlineStr">
        <is>
          <t>Added to Dashboard (REQ-1021)</t>
        </is>
      </c>
    </row>
    <row r="19" ht="22" customHeight="1">
      <c r="A19" s="9" t="inlineStr">
        <is>
          <t>2026-06-03 18:38:59+00:00</t>
        </is>
      </c>
      <c r="B19" s="10" t="inlineStr">
        <is>
          <t>LLAH06260086 __ MEXICO - ECUADOR __ PANEL .eml</t>
        </is>
      </c>
      <c r="C19" s="10">
        <f>?iso-8859-1?Q?Vania_Desiree_Martinez_Mu=F1oz_-_Savino_Del_Bene_Mexico_He?=
 =?iso-8859-1?Q?ad_Office?= &lt;vania.martinez@savinodelbene.com&gt;</f>
        <v/>
      </c>
      <c r="D19" s="10" t="inlineStr">
        <is>
          <t xml:space="preserve">LLAH06260086 // MEXICO - ECUADOR // PANEL </t>
        </is>
      </c>
      <c r="E19" s="9" t="inlineStr">
        <is>
          <t>New Rate Request</t>
        </is>
      </c>
      <c r="F19" s="11" t="inlineStr">
        <is>
          <t>RATE REQUEST</t>
        </is>
      </c>
      <c r="G19" s="9" t="inlineStr">
        <is>
          <t>Added to Dashboard (REQ-1022)</t>
        </is>
      </c>
    </row>
    <row r="20" ht="22" customHeight="1">
      <c r="A20" s="9" t="inlineStr">
        <is>
          <t>2026-08-17 14:06:21+00:00</t>
        </is>
      </c>
      <c r="B20" s="10" t="inlineStr">
        <is>
          <t>Medio oriente (PIL).eml</t>
        </is>
      </c>
      <c r="C20" s="10" t="inlineStr">
        <is>
          <t>"Otegui, Josefina" &lt;Josefina.Otegui@ciaforestal.com.uy&gt;</t>
        </is>
      </c>
      <c r="D20" s="10" t="inlineStr">
        <is>
          <t>Medio oriente (PIL)</t>
        </is>
      </c>
      <c r="E20" s="9" t="inlineStr">
        <is>
          <t>Operational Matters (Doc/Schedule/Booking)</t>
        </is>
      </c>
      <c r="F20" s="18" t="inlineStr">
        <is>
          <t>CHATTER / NON-QUOTATION</t>
        </is>
      </c>
      <c r="G20" s="9" t="inlineStr">
        <is>
          <t>Excluded from Dashboard</t>
        </is>
      </c>
    </row>
    <row r="21" ht="22" customHeight="1">
      <c r="A21" s="9" t="inlineStr">
        <is>
          <t>2026-07-06 19:35:13+00:00</t>
        </is>
      </c>
      <c r="B21" s="10" t="inlineStr">
        <is>
          <t>Oprtunidad Azucar Buenaventura a Callao .eml</t>
        </is>
      </c>
      <c r="C21" s="10" t="inlineStr">
        <is>
          <t>"Alexander Romero (DHL CO)" &lt;Alexander.Romero@dhl.com&gt;</t>
        </is>
      </c>
      <c r="D21" s="10" t="inlineStr">
        <is>
          <t xml:space="preserve">Oprtunidad Azucar Buenaventura a Callao </t>
        </is>
      </c>
      <c r="E21" s="9" t="inlineStr">
        <is>
          <t>New Rate Request</t>
        </is>
      </c>
      <c r="F21" s="11" t="inlineStr">
        <is>
          <t>RATE REQUEST</t>
        </is>
      </c>
      <c r="G21" s="9" t="inlineStr">
        <is>
          <t>Added to Dashboard (REQ-1023)</t>
        </is>
      </c>
    </row>
    <row r="22" ht="22" customHeight="1">
      <c r="A22" s="9" t="inlineStr">
        <is>
          <t>2026-08-31 10:22:09+00:00</t>
        </is>
      </c>
      <c r="B22" s="10" t="inlineStr">
        <is>
          <t>PIL_PSA __ RFQ PKGAMB1900_JACKREQ __ QNEX __ PORT KLANG-_AMBARLI PORT FCL FREIGHT REQUEST.eml</t>
        </is>
      </c>
      <c r="C22" s="10" t="inlineStr">
        <is>
          <t>Jack via csbot &lt;Csbot@qnexglobal.com&gt;</t>
        </is>
      </c>
      <c r="D22" s="10" t="inlineStr">
        <is>
          <t>PIL/PSA // RFQ PKGAMB1900_JACKREQ // QNEX // PORT KLANG-&gt;AMBARLI PORT
 FCL FREIGHT REQUEST</t>
        </is>
      </c>
      <c r="E22" s="9" t="inlineStr">
        <is>
          <t>New Rate Request</t>
        </is>
      </c>
      <c r="F22" s="11" t="inlineStr">
        <is>
          <t>RATE REQUEST</t>
        </is>
      </c>
      <c r="G22" s="9" t="inlineStr">
        <is>
          <t>Added to Dashboard (REQ-1024)</t>
        </is>
      </c>
    </row>
    <row r="23" ht="22" customHeight="1">
      <c r="A23" s="9" t="inlineStr">
        <is>
          <t>2026-08-21 02:50:55+00:00</t>
        </is>
      </c>
      <c r="B23" s="10" t="inlineStr">
        <is>
          <t>Re_ [PIL] EXP RATE _ YANGON- Karachi, PAKISTAN SEPT RATE.eml</t>
        </is>
      </c>
      <c r="C23" s="10" t="inlineStr">
        <is>
          <t>Nwe Win &lt;nweni.win@rgn.pilship.com&gt;</t>
        </is>
      </c>
      <c r="D23" s="10" t="inlineStr">
        <is>
          <t>Re: [PIL] EXP RATE : YANGON- Karachi, PAKISTAN SEPT RATE</t>
        </is>
      </c>
      <c r="E23" s="9" t="inlineStr">
        <is>
          <t>New Rate Request</t>
        </is>
      </c>
      <c r="F23" s="11" t="inlineStr">
        <is>
          <t>RATE REQUEST</t>
        </is>
      </c>
      <c r="G23" s="9" t="inlineStr">
        <is>
          <t>Added to Dashboard (REQ-1025)</t>
        </is>
      </c>
    </row>
    <row r="24" ht="22" customHeight="1">
      <c r="A24" s="9" t="inlineStr">
        <is>
          <t>2026-08-31 20:38:48+00:00</t>
        </is>
      </c>
      <c r="B24" s="10" t="inlineStr">
        <is>
          <t>RE_ COTIZACION MANZANILLO - MEXICO.eml</t>
        </is>
      </c>
      <c r="C24" s="10" t="inlineStr">
        <is>
          <t>Paola Zambrano &lt;pzambrano@surtax.com.ec&gt;</t>
        </is>
      </c>
      <c r="D24" s="10" t="inlineStr">
        <is>
          <t>RE: COTIZACION MANZANILLO - MEXICO</t>
        </is>
      </c>
      <c r="E24" s="9" t="inlineStr">
        <is>
          <t>New Rate Request</t>
        </is>
      </c>
      <c r="F24" s="11" t="inlineStr">
        <is>
          <t>RATE REQUEST</t>
        </is>
      </c>
      <c r="G24" s="9" t="inlineStr">
        <is>
          <t>Added to Dashboard (REQ-1026, REQ-1027, REQ-1028)</t>
        </is>
      </c>
    </row>
    <row r="25" ht="22" customHeight="1">
      <c r="A25" s="9" t="inlineStr">
        <is>
          <t>2026-08-31 20:38:48+00:00</t>
        </is>
      </c>
      <c r="B25" s="10" t="inlineStr">
        <is>
          <t>RE_ COTIZACION MANZANILLO - MEXICO.eml</t>
        </is>
      </c>
      <c r="C25" s="10" t="inlineStr">
        <is>
          <t>Paola Zambrano &lt;pzambrano@surtax.com.ec&gt;</t>
        </is>
      </c>
      <c r="D25" s="10" t="inlineStr">
        <is>
          <t>RE: COTIZACION MANZANILLO - MEXICO</t>
        </is>
      </c>
      <c r="E25" s="9" t="inlineStr">
        <is>
          <t>New Rate Request</t>
        </is>
      </c>
      <c r="F25" s="11" t="inlineStr">
        <is>
          <t>RATE REQUEST</t>
        </is>
      </c>
      <c r="G25" s="9" t="inlineStr">
        <is>
          <t>Added to Dashboard (REQ-1026, REQ-1027, REQ-1028)</t>
        </is>
      </c>
    </row>
    <row r="26" ht="22" customHeight="1">
      <c r="A26" s="9" t="inlineStr">
        <is>
          <t>2026-08-25 02:42:05+00:00</t>
        </is>
      </c>
      <c r="B26" s="10" t="inlineStr">
        <is>
          <t>Re_ PIL __ YGN-MUNDRA __ JACKETS __ SEP 2026.eml</t>
        </is>
      </c>
      <c r="C26" s="10" t="inlineStr">
        <is>
          <t>May Soe &lt;may.soe@rgn.pilship.com&gt;</t>
        </is>
      </c>
      <c r="D26" s="10" t="inlineStr">
        <is>
          <t>Re: PIL || YGN-MUNDRA || JACKETS || SEP 2026</t>
        </is>
      </c>
      <c r="E26" s="9" t="inlineStr">
        <is>
          <t>New Rate Request</t>
        </is>
      </c>
      <c r="F26" s="11" t="inlineStr">
        <is>
          <t>RATE REQUEST</t>
        </is>
      </c>
      <c r="G26" s="9" t="inlineStr">
        <is>
          <t>Added to Dashboard (REQ-1029)</t>
        </is>
      </c>
    </row>
    <row r="27" ht="22" customHeight="1">
      <c r="A27" s="9" t="inlineStr">
        <is>
          <t>2026-08-31 21:18:16+00:00</t>
        </is>
      </c>
      <c r="B27" s="10" t="inlineStr">
        <is>
          <t>RE_ SOLICITUD DE TARIFA _INCARGO_ SHANGHAI-China..eml</t>
        </is>
      </c>
      <c r="C27" s="10" t="inlineStr">
        <is>
          <t>"ventas1@incargo.com.ec" &lt;ventas1@incargo.com.ec&gt;</t>
        </is>
      </c>
      <c r="D27" s="10" t="inlineStr">
        <is>
          <t>RE: SOLICITUD DE TARIFA /INCARGO/ SHANGHAI-China.</t>
        </is>
      </c>
      <c r="E27" s="9" t="inlineStr">
        <is>
          <t>New Rate Request</t>
        </is>
      </c>
      <c r="F27" s="11" t="inlineStr">
        <is>
          <t>RATE REQUEST</t>
        </is>
      </c>
      <c r="G27" s="9" t="inlineStr">
        <is>
          <t>Added to Dashboard (REQ-1030)</t>
        </is>
      </c>
    </row>
    <row r="28" ht="22" customHeight="1">
      <c r="A28" s="9" t="inlineStr">
        <is>
          <t>2026-07-24 16:19:43-06:00</t>
        </is>
      </c>
      <c r="B28" s="10" t="inlineStr">
        <is>
          <t>RE_ Solict. Tarifa ⚓ Manzanillo, México - Chile  FOODGRADE __ 0260071209.eml</t>
        </is>
      </c>
      <c r="C28" s="10" t="inlineStr">
        <is>
          <t>&lt;ilce@illcargo.com&gt;</t>
        </is>
      </c>
      <c r="D28" s="10">
        <f>?UTF-8?Q?RE:_Solict._Tarifa_=E2=9A=93_Manzanillo=2C?=
	=?UTF-8?Q?_M=C3=A9xico_-_Chile__FOODGRADE_//_02?=
	=?UTF-8?Q?60071209?=</f>
        <v/>
      </c>
      <c r="E28" s="9" t="inlineStr">
        <is>
          <t>New Rate Request</t>
        </is>
      </c>
      <c r="F28" s="11" t="inlineStr">
        <is>
          <t>RATE REQUEST</t>
        </is>
      </c>
      <c r="G28" s="9" t="inlineStr">
        <is>
          <t>Added to Dashboard (REQ-1031)</t>
        </is>
      </c>
    </row>
    <row r="29" ht="22" customHeight="1">
      <c r="A29" s="9" t="inlineStr">
        <is>
          <t>2026-08-31 13:41:12+00:00</t>
        </is>
      </c>
      <c r="B29" s="10" t="inlineStr">
        <is>
          <t>RE_ TARIFAS PULPA  CONGELADA.eml</t>
        </is>
      </c>
      <c r="C29" s="10" t="inlineStr">
        <is>
          <t>Fabiola Lizama &lt;fabiola.lizama@chl.pilship.com&gt;</t>
        </is>
      </c>
      <c r="D29" s="10" t="inlineStr">
        <is>
          <t>RE: TARIFAS PULPA  CONGELADA</t>
        </is>
      </c>
      <c r="E29" s="9" t="inlineStr">
        <is>
          <t>New Rate Request</t>
        </is>
      </c>
      <c r="F29" s="11" t="inlineStr">
        <is>
          <t>RATE REQUEST</t>
        </is>
      </c>
      <c r="G29" s="9" t="inlineStr">
        <is>
          <t>Added to Dashboard (REQ-1032)</t>
        </is>
      </c>
    </row>
    <row r="30" ht="22" customHeight="1">
      <c r="A30" s="9" t="inlineStr">
        <is>
          <t>2026-08-31 13:41:12+00:00</t>
        </is>
      </c>
      <c r="B30" s="10" t="inlineStr">
        <is>
          <t>RE_ TARIFAS PULPA  CONGELADA.eml</t>
        </is>
      </c>
      <c r="C30" s="10" t="inlineStr">
        <is>
          <t>Fabiola Lizama &lt;fabiola.lizama@chl.pilship.com&gt;</t>
        </is>
      </c>
      <c r="D30" s="10" t="inlineStr">
        <is>
          <t>RE: TARIFAS PULPA  CONGELADA</t>
        </is>
      </c>
      <c r="E30" s="9" t="inlineStr">
        <is>
          <t>Operational Matters (Doc/Schedule/Booking)</t>
        </is>
      </c>
      <c r="F30" s="18" t="inlineStr">
        <is>
          <t>CHATTER / NON-QUOTATION</t>
        </is>
      </c>
      <c r="G30" s="9" t="inlineStr">
        <is>
          <t>Excluded from Dashboard</t>
        </is>
      </c>
    </row>
    <row r="31" ht="22" customHeight="1">
      <c r="A31" s="9" t="inlineStr">
        <is>
          <t>2026-08-31 19:51:48+00:00</t>
        </is>
      </c>
      <c r="B31" s="10" t="inlineStr">
        <is>
          <t>RES_ Suzano S.A. - International Shipping - Request_ Turbo, Colombia.eml</t>
        </is>
      </c>
      <c r="C31" s="10" t="inlineStr">
        <is>
          <t>EMILY SAUDE MARTINS &lt;emilysm@suzano.com.br&gt;</t>
        </is>
      </c>
      <c r="D31" s="10" t="inlineStr">
        <is>
          <t>RES: Suzano S.A. - International Shipping - Request: Turbo, Colombia</t>
        </is>
      </c>
      <c r="E31" s="9" t="inlineStr">
        <is>
          <t>New Rate Request</t>
        </is>
      </c>
      <c r="F31" s="11" t="inlineStr">
        <is>
          <t>RATE REQUEST</t>
        </is>
      </c>
      <c r="G31" s="9" t="inlineStr">
        <is>
          <t>Added to Dashboard (REQ-1033)</t>
        </is>
      </c>
    </row>
    <row r="32" ht="22" customHeight="1">
      <c r="A32" s="9" t="inlineStr">
        <is>
          <t>2026-08-20 18:28:38+00:00</t>
        </is>
      </c>
      <c r="B32" s="10" t="inlineStr">
        <is>
          <t>SINGAPUR - 40 RH.eml</t>
        </is>
      </c>
      <c r="C32" s="10">
        <f>?Windows-1252?Q?Emiliano_Nolla_=96_Unilog?= &lt;enolla@unilog.com.uy&gt;</f>
        <v/>
      </c>
      <c r="D32" s="10" t="inlineStr">
        <is>
          <t>SINGAPUR - 40 RH</t>
        </is>
      </c>
      <c r="E32" s="9" t="inlineStr">
        <is>
          <t>New Rate Request</t>
        </is>
      </c>
      <c r="F32" s="11" t="inlineStr">
        <is>
          <t>RATE REQUEST</t>
        </is>
      </c>
      <c r="G32" s="9" t="inlineStr">
        <is>
          <t>Added to Dashboard (REQ-1034)</t>
        </is>
      </c>
    </row>
    <row r="33" ht="22" customHeight="1">
      <c r="A33" s="9" t="inlineStr">
        <is>
          <t>2026-08-31 20:38:26+00:00</t>
        </is>
      </c>
      <c r="B33" s="10" t="inlineStr">
        <is>
          <t>SOLICITAÇAO DE COTAÇAO - RIO DE JANEIRO OU ITAGUAI X QINGDAO  - 40 RF - SHIPPER_ ZL LOG.eml</t>
        </is>
      </c>
      <c r="C33" s="10" t="inlineStr">
        <is>
          <t>Nathan Israel Pontes Nogueira &lt;nathan@mslcorporate.com.br&gt;</t>
        </is>
      </c>
      <c r="D33" s="10">
        <f>?iso-8859-1?Q?SOLICITA=C7AO_DE_COTA=C7AO_-_RIO_DE_JANEIRO_OU_ITAGUAI_X_Q?=
 =?iso-8859-1?Q?INGDAO__-_40_RF_-_SHIPPER:_ZL_LOG?=</f>
        <v/>
      </c>
      <c r="E33" s="9" t="inlineStr">
        <is>
          <t>New Rate Request</t>
        </is>
      </c>
      <c r="F33" s="11" t="inlineStr">
        <is>
          <t>RATE REQUEST</t>
        </is>
      </c>
      <c r="G33" s="9" t="inlineStr">
        <is>
          <t>Added to Dashboard (REQ-1035)</t>
        </is>
      </c>
    </row>
    <row r="34" ht="22" customHeight="1">
      <c r="A34" s="9" t="inlineStr">
        <is>
          <t>2026-04-16 01:35:59+00:00</t>
        </is>
      </c>
      <c r="B34" s="10" t="inlineStr">
        <is>
          <t>Tarifas Ex-Callao - 3 Ports _ Korea, India &amp; China (PIL).eml</t>
        </is>
      </c>
      <c r="C34" s="10" t="inlineStr">
        <is>
          <t>Marvin Conquero / Smart &lt;marvin.conquero@gruposbc.com.pe&gt;</t>
        </is>
      </c>
      <c r="D34" s="10" t="inlineStr">
        <is>
          <t>Tarifas Ex-Callao - 3 Ports / Korea, India &amp; China (PIL)</t>
        </is>
      </c>
      <c r="E34" s="9" t="inlineStr">
        <is>
          <t>New Rate Request</t>
        </is>
      </c>
      <c r="F34" s="11" t="inlineStr">
        <is>
          <t>RATE REQUEST</t>
        </is>
      </c>
      <c r="G34" s="9" t="inlineStr">
        <is>
          <t>Added to Dashboard (REQ-1036, REQ-1037, REQ-1038)</t>
        </is>
      </c>
    </row>
    <row r="35" ht="22" customHeight="1">
      <c r="A35" s="9" t="inlineStr">
        <is>
          <t>2026-02-26 20:56:05-05:00</t>
        </is>
      </c>
      <c r="B35" s="10" t="inlineStr">
        <is>
          <t>TARIFAS PALTAS FRESCAS __ CALLAO - ASIA.eml</t>
        </is>
      </c>
      <c r="C35" s="10" t="inlineStr">
        <is>
          <t>"Eduardo Jara" &lt;eduardo.jara@anicamcargo.pe&gt;</t>
        </is>
      </c>
      <c r="D35" s="10" t="inlineStr">
        <is>
          <t>TARIFAS PALTAS FRESCAS // CALLAO - ASIA</t>
        </is>
      </c>
      <c r="E35" s="9" t="inlineStr">
        <is>
          <t>New Rate Request</t>
        </is>
      </c>
      <c r="F35" s="11" t="inlineStr">
        <is>
          <t>RATE REQUEST</t>
        </is>
      </c>
      <c r="G35" s="9" t="inlineStr">
        <is>
          <t>Added to Dashboard (REQ-1039)</t>
        </is>
      </c>
    </row>
    <row r="36" ht="22" customHeight="1">
      <c r="A36" s="9" t="inlineStr">
        <is>
          <t>2026-08-24 08:29:44+00:00</t>
        </is>
      </c>
      <c r="B36" s="10" t="inlineStr">
        <is>
          <t>{{PIL}} RFQ _ PORT KLANG TO SIHANOUKVILLE _ VIENTIANE - PTP - SRI.eml</t>
        </is>
      </c>
      <c r="C36" s="10" t="inlineStr">
        <is>
          <t>"shanthi@sal.com.my" &lt;shanthi@sal.com.my&gt;</t>
        </is>
      </c>
      <c r="D36" s="10" t="inlineStr">
        <is>
          <t>{{PIL}} RFQ : PORT KLANG TO SIHANOUKVILLE / VIENTIANE - PTP - SRI</t>
        </is>
      </c>
      <c r="E36" s="9" t="inlineStr">
        <is>
          <t>New Rate Request</t>
        </is>
      </c>
      <c r="F36" s="11" t="inlineStr">
        <is>
          <t>RATE REQUEST</t>
        </is>
      </c>
      <c r="G36" s="9" t="inlineStr">
        <is>
          <t>Added to Dashboard (REQ-1040, REQ-1041)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2026-09-23T05:05:00Z</dcterms:created>
  <dcterms:modified xmlns:dcterms="http://purl.org/dc/terms/" xmlns:xsi="http://www.w3.org/2001/XMLSchema-instance" xsi:type="dcterms:W3CDTF">2026-09-23T05:07:06Z</dcterms:modified>
</cp:coreProperties>
</file>